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oftwares\Programming Projects\personal brand notes\03_videos\metrics\"/>
    </mc:Choice>
  </mc:AlternateContent>
  <xr:revisionPtr revIDLastSave="0" documentId="13_ncr:1_{A16C57C5-2FC5-4430-828C-B4AA9E9D6760}" xr6:coauthVersionLast="47" xr6:coauthVersionMax="47" xr10:uidLastSave="{00000000-0000-0000-0000-000000000000}"/>
  <bookViews>
    <workbookView xWindow="-110" yWindow="-110" windowWidth="21820" windowHeight="14620" tabRatio="333" firstSheet="1" activeTab="2" xr2:uid="{00000000-000D-0000-FFFF-FFFF00000000}"/>
  </bookViews>
  <sheets>
    <sheet name="Sheet1" sheetId="1" r:id="rId1"/>
    <sheet name="抖音" sheetId="2" r:id="rId2"/>
    <sheet name="小红书" sheetId="4" r:id="rId3"/>
  </sheets>
  <definedNames>
    <definedName name="_xlnm._FilterDatabase" localSheetId="1" hidden="1">抖音!$R$1:$R$89</definedName>
    <definedName name="_xlnm._FilterDatabase" localSheetId="2" hidden="1">小红书!$O$1:$O$44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" l="1" a="1"/>
  <c r="R2" i="2" s="1"/>
  <c r="O2" i="4" a="1"/>
  <c r="O2" i="4"/>
  <c r="O3" i="4" a="1"/>
  <c r="O3" i="4" s="1"/>
  <c r="O4" i="4" a="1"/>
  <c r="O4" i="4" s="1"/>
  <c r="R3" i="2" a="1"/>
  <c r="R3" i="2" s="1"/>
  <c r="R4" i="2" a="1"/>
  <c r="R4" i="2" s="1"/>
  <c r="O5" i="4" a="1"/>
  <c r="O5" i="4" s="1"/>
  <c r="R5" i="2" a="1"/>
  <c r="R5" i="2" s="1"/>
  <c r="O7" i="4" a="1"/>
  <c r="O7" i="4" s="1"/>
  <c r="O6" i="4" a="1"/>
  <c r="O6" i="4" s="1"/>
  <c r="R7" i="2" a="1"/>
  <c r="R7" i="2" s="1"/>
  <c r="R6" i="2" a="1"/>
  <c r="R6" i="2" s="1"/>
  <c r="R77" i="2" a="1"/>
  <c r="R77" i="2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15" i="4" a="1"/>
  <c r="O15" i="4" s="1"/>
  <c r="O16" i="4" a="1"/>
  <c r="O16" i="4" s="1"/>
  <c r="O17" i="4" a="1"/>
  <c r="O17" i="4" s="1"/>
  <c r="O18" i="4" a="1"/>
  <c r="O18" i="4" s="1"/>
  <c r="O20" i="4" a="1"/>
  <c r="O20" i="4" s="1"/>
  <c r="O21" i="4" a="1"/>
  <c r="O21" i="4" s="1"/>
  <c r="O22" i="4" a="1"/>
  <c r="O22" i="4" s="1"/>
  <c r="O25" i="4" a="1"/>
  <c r="O25" i="4" s="1"/>
  <c r="O26" i="4" a="1"/>
  <c r="O26" i="4" s="1"/>
  <c r="O27" i="4" a="1"/>
  <c r="O27" i="4" s="1"/>
  <c r="O28" i="4" a="1"/>
  <c r="O28" i="4" s="1"/>
  <c r="O29" i="4" a="1"/>
  <c r="O29" i="4" s="1"/>
  <c r="O30" i="4" a="1"/>
  <c r="O30" i="4" s="1"/>
  <c r="O31" i="4" a="1"/>
  <c r="O31" i="4" s="1"/>
  <c r="O32" i="4" a="1"/>
  <c r="O32" i="4" s="1"/>
  <c r="O33" i="4" a="1"/>
  <c r="O33" i="4" s="1"/>
  <c r="O34" i="4" a="1"/>
  <c r="O34" i="4" s="1"/>
  <c r="O35" i="4" a="1"/>
  <c r="O35" i="4" s="1"/>
  <c r="O36" i="4" a="1"/>
  <c r="O36" i="4" s="1"/>
  <c r="O37" i="4" a="1"/>
  <c r="O37" i="4" s="1"/>
  <c r="O38" i="4" a="1"/>
  <c r="O38" i="4" s="1"/>
  <c r="O39" i="4" a="1"/>
  <c r="O39" i="4" s="1"/>
  <c r="O8" i="4" a="1"/>
  <c r="O8" i="4" s="1"/>
  <c r="R9" i="2" a="1"/>
  <c r="R9" i="2" s="1"/>
  <c r="R10" i="2" a="1"/>
  <c r="R10" i="2" s="1"/>
  <c r="R11" i="2" a="1"/>
  <c r="R11" i="2" s="1"/>
  <c r="R12" i="2" a="1"/>
  <c r="R12" i="2" s="1"/>
  <c r="R13" i="2" a="1"/>
  <c r="R13" i="2" s="1"/>
  <c r="R14" i="2" a="1"/>
  <c r="R14" i="2" s="1"/>
  <c r="R15" i="2" a="1"/>
  <c r="R15" i="2" s="1"/>
  <c r="R16" i="2" a="1"/>
  <c r="R16" i="2" s="1"/>
  <c r="R17" i="2" a="1"/>
  <c r="R17" i="2" s="1"/>
  <c r="R18" i="2" a="1"/>
  <c r="R18" i="2" s="1"/>
  <c r="R19" i="2" a="1"/>
  <c r="R19" i="2" s="1"/>
  <c r="R20" i="2" a="1"/>
  <c r="R20" i="2" s="1"/>
  <c r="R21" i="2" a="1"/>
  <c r="R21" i="2" s="1"/>
  <c r="R23" i="2" a="1"/>
  <c r="R23" i="2" s="1"/>
  <c r="R24" i="2" a="1"/>
  <c r="R24" i="2" s="1"/>
  <c r="R25" i="2" a="1"/>
  <c r="R25" i="2" s="1"/>
  <c r="R26" i="2" a="1"/>
  <c r="R26" i="2" s="1"/>
  <c r="R27" i="2" a="1"/>
  <c r="R27" i="2" s="1"/>
  <c r="R28" i="2" a="1"/>
  <c r="R28" i="2" s="1"/>
  <c r="R29" i="2" a="1"/>
  <c r="R29" i="2" s="1"/>
  <c r="R30" i="2" a="1"/>
  <c r="R30" i="2" s="1"/>
  <c r="R31" i="2" a="1"/>
  <c r="R31" i="2" s="1"/>
  <c r="R32" i="2" a="1"/>
  <c r="R32" i="2" s="1"/>
  <c r="R33" i="2" a="1"/>
  <c r="R33" i="2" s="1"/>
  <c r="R34" i="2" a="1"/>
  <c r="R34" i="2" s="1"/>
  <c r="R35" i="2" a="1"/>
  <c r="R35" i="2" s="1"/>
  <c r="R36" i="2" a="1"/>
  <c r="R36" i="2" s="1"/>
  <c r="R37" i="2" a="1"/>
  <c r="R37" i="2" s="1"/>
  <c r="R38" i="2" a="1"/>
  <c r="R38" i="2" s="1"/>
  <c r="R39" i="2" a="1"/>
  <c r="R39" i="2" s="1"/>
  <c r="R40" i="2" a="1"/>
  <c r="R40" i="2" s="1"/>
  <c r="R41" i="2" a="1"/>
  <c r="R41" i="2" s="1"/>
  <c r="R42" i="2" a="1"/>
  <c r="R42" i="2" s="1"/>
  <c r="R43" i="2" a="1"/>
  <c r="R43" i="2" s="1"/>
  <c r="R44" i="2" a="1"/>
  <c r="R44" i="2" s="1"/>
  <c r="R45" i="2" a="1"/>
  <c r="R45" i="2" s="1"/>
  <c r="R46" i="2" a="1"/>
  <c r="R46" i="2" s="1"/>
  <c r="R47" i="2" a="1"/>
  <c r="R47" i="2" s="1"/>
  <c r="R48" i="2" a="1"/>
  <c r="R48" i="2" s="1"/>
  <c r="R49" i="2" a="1"/>
  <c r="R49" i="2" s="1"/>
  <c r="R50" i="2" a="1"/>
  <c r="R50" i="2" s="1"/>
  <c r="R51" i="2" a="1"/>
  <c r="R51" i="2" s="1"/>
  <c r="R52" i="2" a="1"/>
  <c r="R52" i="2" s="1"/>
  <c r="R53" i="2" a="1"/>
  <c r="R53" i="2" s="1"/>
  <c r="R54" i="2" a="1"/>
  <c r="R54" i="2" s="1"/>
  <c r="R55" i="2" a="1"/>
  <c r="R55" i="2" s="1"/>
  <c r="R56" i="2" a="1"/>
  <c r="R56" i="2" s="1"/>
  <c r="R57" i="2" a="1"/>
  <c r="R57" i="2" s="1"/>
  <c r="R58" i="2" a="1"/>
  <c r="R58" i="2" s="1"/>
  <c r="R60" i="2" a="1"/>
  <c r="R60" i="2" s="1"/>
  <c r="R61" i="2" a="1"/>
  <c r="R61" i="2" s="1"/>
  <c r="R62" i="2" a="1"/>
  <c r="R62" i="2" s="1"/>
  <c r="R63" i="2" a="1"/>
  <c r="R63" i="2" s="1"/>
  <c r="R64" i="2" a="1"/>
  <c r="R64" i="2" s="1"/>
  <c r="R65" i="2" a="1"/>
  <c r="R65" i="2" s="1"/>
  <c r="R66" i="2" a="1"/>
  <c r="R66" i="2" s="1"/>
  <c r="R67" i="2" a="1"/>
  <c r="R67" i="2" s="1"/>
  <c r="R68" i="2" a="1"/>
  <c r="R68" i="2" s="1"/>
  <c r="R69" i="2" a="1"/>
  <c r="R69" i="2" s="1"/>
  <c r="R70" i="2" a="1"/>
  <c r="R70" i="2" s="1"/>
  <c r="R71" i="2" a="1"/>
  <c r="R71" i="2" s="1"/>
  <c r="R72" i="2" a="1"/>
  <c r="R72" i="2" s="1"/>
  <c r="R73" i="2" a="1"/>
  <c r="R73" i="2" s="1"/>
  <c r="R74" i="2" a="1"/>
  <c r="R74" i="2" s="1"/>
  <c r="R75" i="2" a="1"/>
  <c r="R75" i="2" s="1"/>
  <c r="R76" i="2" a="1"/>
  <c r="R76" i="2" s="1"/>
  <c r="R78" i="2" a="1"/>
  <c r="R78" i="2" s="1"/>
  <c r="R79" i="2" a="1"/>
  <c r="R79" i="2" s="1"/>
  <c r="R80" i="2" a="1"/>
  <c r="R80" i="2" s="1"/>
  <c r="R81" i="2" a="1"/>
  <c r="R81" i="2" s="1"/>
  <c r="R82" i="2" a="1"/>
  <c r="R82" i="2" s="1"/>
  <c r="R83" i="2" a="1"/>
  <c r="R83" i="2" s="1"/>
  <c r="R84" i="2" a="1"/>
  <c r="R84" i="2" s="1"/>
  <c r="R85" i="2" a="1"/>
  <c r="R85" i="2" s="1"/>
  <c r="R86" i="2" a="1"/>
  <c r="R86" i="2" s="1"/>
  <c r="R87" i="2" a="1"/>
  <c r="R87" i="2" s="1"/>
  <c r="R88" i="2" a="1"/>
  <c r="R88" i="2" s="1"/>
  <c r="R89" i="2" a="1"/>
  <c r="R89" i="2" s="1"/>
  <c r="R8" i="2" a="1"/>
  <c r="R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<sst xmlns="http://schemas.openxmlformats.org/spreadsheetml/2006/main" count="2113" uniqueCount="1121">
  <si>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</si>
  <si>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</si>
  <si>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</si>
  <si>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</si>
  <si>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</si>
  <si>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</si>
  <si>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</si>
  <si>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</si>
  <si>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</si>
  <si>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</si>
  <si>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</si>
  <si>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</si>
  <si>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</si>
  <si>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</si>
  <si>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</si>
  <si>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</si>
  <si>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四六级备考, 可能不存在计划 其实大家都在强装镇定, 没有精准摸清自己的底牌的计划都是流氓
#四六级#备考计划#英语学习</t>
  </si>
  <si>
    <t>2026-04-06 12:00:00</t>
  </si>
  <si>
    <t>1-3min视频</t>
  </si>
  <si>
    <t>公开</t>
  </si>
  <si>
    <t>848</t>
  </si>
  <si>
    <t>0.011252</t>
  </si>
  <si>
    <t>0.115789</t>
  </si>
  <si>
    <t>-</t>
  </si>
  <si>
    <t>0.611842</t>
  </si>
  <si>
    <t>3.598425</t>
  </si>
  <si>
    <t>18</t>
  </si>
  <si>
    <t>0</t>
  </si>
  <si>
    <t>1</t>
  </si>
  <si>
    <t>2</t>
  </si>
  <si>
    <t>5</t>
  </si>
  <si>
    <t>备考四六级, 平均用力等于无效 别用战术勤奋掩盖战略懒惰，拒绝平均用力
#英语学习#四六级#大学英语</t>
  </si>
  <si>
    <t>2026-04-03 12:00:00</t>
  </si>
  <si>
    <t>1904</t>
  </si>
  <si>
    <t>0.023143</t>
  </si>
  <si>
    <t>0.213439</t>
  </si>
  <si>
    <t>0.511011</t>
  </si>
  <si>
    <t>5.895211</t>
  </si>
  <si>
    <t>56</t>
  </si>
  <si>
    <t>4</t>
  </si>
  <si>
    <t>20</t>
  </si>
  <si>
    <t>24</t>
  </si>
  <si>
    <t>英语阅读生词太多？反而是你读得太少了 背单词就忘，真不是你记忆力差，而是你“读”得太少了!
#英语学习#背单词#四六级备考</t>
  </si>
  <si>
    <t>2026-03-31 12:00:00</t>
  </si>
  <si>
    <t>1755</t>
  </si>
  <si>
    <t>0.020677</t>
  </si>
  <si>
    <t>0.211505</t>
  </si>
  <si>
    <t>0.587449</t>
  </si>
  <si>
    <t>6.941313</t>
  </si>
  <si>
    <t>64</t>
  </si>
  <si>
    <t>大学生学英语，存在一个致命问题 ✨每天学英语都只在背单词，你的英语能学好就怪了。
语境才真是巩固单词最夯爆的方式，一定记得在阅读语境中巩固单词
#英语学习#背单词#英语#大学英语</t>
  </si>
  <si>
    <t>2026-03-29 12:00:00</t>
  </si>
  <si>
    <t>3443</t>
  </si>
  <si>
    <t>0.023440</t>
  </si>
  <si>
    <t>0.230606</t>
  </si>
  <si>
    <t>0.499091</t>
  </si>
  <si>
    <t>7.977596</t>
  </si>
  <si>
    <t>116</t>
  </si>
  <si>
    <t>8</t>
  </si>
  <si>
    <t>43</t>
  </si>
  <si>
    <t>45</t>
  </si>
  <si>
    <t>3</t>
  </si>
  <si>
    <t>四六级备考，一定要避开的三个天坑 🌟六级632 | 阅读满分｜四六级备考详细避坑指南
📝本期的方法都是自己摸爬滚打出来的经验 希望对你有益
#经验分享#英语#四六级#大学英语#大学</t>
  </si>
  <si>
    <t>2026-03-26 12:00:00</t>
  </si>
  <si>
    <t>1648</t>
  </si>
  <si>
    <t>0.034256</t>
  </si>
  <si>
    <t>0.223501</t>
  </si>
  <si>
    <t>0.524531</t>
  </si>
  <si>
    <t>11.374924</t>
  </si>
  <si>
    <t>35</t>
  </si>
  <si>
    <t>6</t>
  </si>
  <si>
    <t>12</t>
  </si>
  <si>
    <t>23</t>
  </si>
  <si>
    <t>脱离学校课题，夺回英语主动权 📎从小到大你的英语课都是一个尿性，从来没有把英语能力培养起来。
这不是你的问题，现在是时候跳出束缚了你12年的框架了
#应试英语#英语学习#大学英语#四六级</t>
  </si>
  <si>
    <t>2026-03-23 12:20:42</t>
  </si>
  <si>
    <t>1942</t>
  </si>
  <si>
    <t>0.047921</t>
  </si>
  <si>
    <t>0.302918</t>
  </si>
  <si>
    <t>0.452520</t>
  </si>
  <si>
    <t>10.977261</t>
  </si>
  <si>
    <t>51</t>
  </si>
  <si>
    <t>13</t>
  </si>
  <si>
    <t>22</t>
  </si>
  <si>
    <t>你的英语口语，真的像你想的那么烂吗？ #英语口语#英语学习#口语#学习心得</t>
  </si>
  <si>
    <t>2026-03-19 12:00:00</t>
  </si>
  <si>
    <t>2163</t>
  </si>
  <si>
    <t>0.013725</t>
  </si>
  <si>
    <t>0.214679</t>
  </si>
  <si>
    <t>0.506422</t>
  </si>
  <si>
    <t>7.560953</t>
  </si>
  <si>
    <t>41</t>
  </si>
  <si>
    <t>9</t>
  </si>
  <si>
    <t>28</t>
  </si>
  <si>
    <t>影子跟读法可能不会让口语进步... 📎可能很多博主都在分享“影子跟读法”作为口语训练，但我觉得口语练习在第二次，最底下还有一层英语基础很多人都忽略了。✨不要架空基础，打好地基，再去练口语，才能事半功倍
#影子跟读法#英语口语#英语学习#口语练习#英语</t>
  </si>
  <si>
    <t>2026-03-18 12:00:00</t>
  </si>
  <si>
    <t>3-5min视频</t>
  </si>
  <si>
    <t>2188</t>
  </si>
  <si>
    <t>0.017045</t>
  </si>
  <si>
    <t>0.178232</t>
  </si>
  <si>
    <t>0.412281</t>
  </si>
  <si>
    <t>0.582224</t>
  </si>
  <si>
    <t>19.869896</t>
  </si>
  <si>
    <t>57</t>
  </si>
  <si>
    <t>16</t>
  </si>
  <si>
    <t>26</t>
  </si>
  <si>
    <t>如何破圈应试英语教育？ 💫高考143 四级628 六级632💫
Stephen Krashen 教授的二语习得理论真的是救了我的英语命。我必须让你们都被安利！今天就来详细拆解一下这个理论的核心内容。
#二语习得#英语学习#阅读原著#英语#四六级</t>
  </si>
  <si>
    <t>2026-03-15 12:21:12</t>
  </si>
  <si>
    <t>88770</t>
  </si>
  <si>
    <t>0.025577</t>
  </si>
  <si>
    <t>0.334431</t>
  </si>
  <si>
    <t>0.354477</t>
  </si>
  <si>
    <t>15.833062</t>
  </si>
  <si>
    <t>4114</t>
  </si>
  <si>
    <t>518</t>
  </si>
  <si>
    <t>92</t>
  </si>
  <si>
    <t>2885</t>
  </si>
  <si>
    <t>1171</t>
  </si>
  <si>
    <t>318</t>
  </si>
  <si>
    <t>如何破圈应试英语教育？ 高考143 | 四六级 600+｜破圈应试教育💫
Stephen Krashen 教授的二语习得理论真的是救了我的英语命。我必须让你们都被安利！今天就来详细拆解一下这个理论的核心内容。
#二语习得#英语学习#阅读原著#英语#四六级</t>
  </si>
  <si>
    <t>2026-03-14 11:11:04</t>
  </si>
  <si>
    <t>6551</t>
  </si>
  <si>
    <t>0.016661</t>
  </si>
  <si>
    <t>0.291438</t>
  </si>
  <si>
    <t>0.202749</t>
  </si>
  <si>
    <t>0.447247</t>
  </si>
  <si>
    <t>14.001037</t>
  </si>
  <si>
    <t>267</t>
  </si>
  <si>
    <t>146</t>
  </si>
  <si>
    <t>123</t>
  </si>
  <si>
    <t>四六级备考避这开三个坑，你也可以600+ 🌟六级632 | 阅读满分｜四六级备考详细避坑指南
📝本期的方法都是自己摸爬滚打出来的经验 希望对你有益
#经验分享#英语#四六级#大学英语#大学</t>
  </si>
  <si>
    <t>2026-03-11 12:00:00</t>
  </si>
  <si>
    <t>2141</t>
  </si>
  <si>
    <t>0.015286</t>
  </si>
  <si>
    <t>0.230666</t>
  </si>
  <si>
    <t>0.542691</t>
  </si>
  <si>
    <t>10.458724</t>
  </si>
  <si>
    <t>38</t>
  </si>
  <si>
    <t>新闻拆解：Anthropic公司与美军的道德争论 #伊朗#AI#英语学习#伊朗vs美国</t>
  </si>
  <si>
    <t>2026-03-07 13:53:34</t>
  </si>
  <si>
    <t>5min+视频</t>
  </si>
  <si>
    <t>自见</t>
  </si>
  <si>
    <t>0.004115</t>
  </si>
  <si>
    <t>0.224592</t>
  </si>
  <si>
    <t>0.562500</t>
  </si>
  <si>
    <t>0.464241</t>
  </si>
  <si>
    <t>9.585213</t>
  </si>
  <si>
    <t>14</t>
  </si>
  <si>
    <t>语法规则好多，真的背不下来咋办...... #英语语法#英语学习#大学英语</t>
  </si>
  <si>
    <t>2026-03-05 12:00:00</t>
  </si>
  <si>
    <t>1710</t>
  </si>
  <si>
    <t>0.010947</t>
  </si>
  <si>
    <t>0.201791</t>
  </si>
  <si>
    <t>0.560597</t>
  </si>
  <si>
    <t>7.888228</t>
  </si>
  <si>
    <t>32</t>
  </si>
  <si>
    <t>33</t>
  </si>
  <si>
    <t>二刷阅读满分有感~ 阅读满分通关秘籍放在视频末尾啦！
#英语六级#英语阅读#四六级#大学英语</t>
  </si>
  <si>
    <t>2026-03-02 16:50:44</t>
  </si>
  <si>
    <t>2750</t>
  </si>
  <si>
    <t>0.017420</t>
  </si>
  <si>
    <t>0.265113</t>
  </si>
  <si>
    <t>0.477422</t>
  </si>
  <si>
    <t>8.587577</t>
  </si>
  <si>
    <t>49</t>
  </si>
  <si>
    <t>29</t>
  </si>
  <si>
    <t>79</t>
  </si>
  <si>
    <t>二刷六级，阅读满分有感 #四六级#六级英语#英语阅读#大学</t>
  </si>
  <si>
    <t>2026-03-01 10:28:07</t>
  </si>
  <si>
    <t>19943</t>
  </si>
  <si>
    <t>0.017349</t>
  </si>
  <si>
    <t>0.295931</t>
  </si>
  <si>
    <t>0.367171</t>
  </si>
  <si>
    <t>9.130909</t>
  </si>
  <si>
    <t>323</t>
  </si>
  <si>
    <t>211</t>
  </si>
  <si>
    <t>275</t>
  </si>
  <si>
    <t>328</t>
  </si>
  <si>
    <t>为和平，上场！ 2026年初春，五位中国青年跨越山海，赴第五届世界和平峰会之约——为和平，我们已上场！
#UNB#和平峰会#新青年全球胜任力#第五届世界和平峰会</t>
  </si>
  <si>
    <t>2026-02-14 23:43:07</t>
  </si>
  <si>
    <t>2830</t>
  </si>
  <si>
    <t>0.012786</t>
  </si>
  <si>
    <t>0.273918</t>
  </si>
  <si>
    <t>0.300000</t>
  </si>
  <si>
    <t>0.480638</t>
  </si>
  <si>
    <t>15.045840</t>
  </si>
  <si>
    <t>107</t>
  </si>
  <si>
    <t>27</t>
  </si>
  <si>
    <t>44</t>
  </si>
  <si>
    <t>95</t>
  </si>
  <si>
    <t>为和平，上场！ 2026年初春，五位中国青年跨越山海，赴第五届世界和平峰会之约——为和平，我们已上场！
#UNB#和平峰会#第五届世界和平峰会#新青年全球胜任力</t>
  </si>
  <si>
    <t>2026-02-14 21:00:00</t>
  </si>
  <si>
    <t>0.000000</t>
  </si>
  <si>
    <t>0.193548</t>
  </si>
  <si>
    <t>0.322581</t>
  </si>
  <si>
    <t>4.838710</t>
  </si>
  <si>
    <t>2026-02-14 20:51:49</t>
  </si>
  <si>
    <t>四六级你真的不应该拉长战线复习几个月 #四六级#大学英语#英语</t>
  </si>
  <si>
    <t>2025-12-14 14:48:16</t>
  </si>
  <si>
    <t>27108</t>
  </si>
  <si>
    <t>0.008285</t>
  </si>
  <si>
    <t>0.494442</t>
  </si>
  <si>
    <t>0.314187</t>
  </si>
  <si>
    <t>15.200627</t>
  </si>
  <si>
    <t>594</t>
  </si>
  <si>
    <t>55</t>
  </si>
  <si>
    <t>53</t>
  </si>
  <si>
    <t>103</t>
  </si>
  <si>
    <t>772</t>
  </si>
  <si>
    <t>历史垃圾时间，你为什么一定要读书？ #垃圾时间#学习#读书#认知提升</t>
  </si>
  <si>
    <t>2025-12-03 10:01:44</t>
  </si>
  <si>
    <t>3967</t>
  </si>
  <si>
    <t>0.016567</t>
  </si>
  <si>
    <t>0.340917</t>
  </si>
  <si>
    <t>0.630000</t>
  </si>
  <si>
    <t>0.404920</t>
  </si>
  <si>
    <t>11.118572</t>
  </si>
  <si>
    <t>137</t>
  </si>
  <si>
    <t>7</t>
  </si>
  <si>
    <t>36</t>
  </si>
  <si>
    <t>106</t>
  </si>
  <si>
    <t>19</t>
  </si>
  <si>
    <t>给你一个万能的，可诊断你当前英语水平问题的逻辑框架 #英语学习#英语#干货分享</t>
  </si>
  <si>
    <t>2025-11-27 12:00:00</t>
  </si>
  <si>
    <t>4215</t>
  </si>
  <si>
    <t>0.008521</t>
  </si>
  <si>
    <t>0.284451</t>
  </si>
  <si>
    <t>0.228304</t>
  </si>
  <si>
    <t>0.364991</t>
  </si>
  <si>
    <t>15.358007</t>
  </si>
  <si>
    <t>187</t>
  </si>
  <si>
    <t>98</t>
  </si>
  <si>
    <t>17</t>
  </si>
  <si>
    <t>我是怎么在1年时间内读完20多本英语原著的？ #英语原著#英语学习#英语#阅读是一种习惯#读书</t>
  </si>
  <si>
    <t>2025-11-24 18:58:20</t>
  </si>
  <si>
    <t>2474</t>
  </si>
  <si>
    <t>0.010268</t>
  </si>
  <si>
    <t>0.255569</t>
  </si>
  <si>
    <t>0.246935</t>
  </si>
  <si>
    <t>0.434154</t>
  </si>
  <si>
    <t>9.724502</t>
  </si>
  <si>
    <t>21</t>
  </si>
  <si>
    <t>52</t>
  </si>
  <si>
    <t>还剩一个月，四六级还能救命过线吗...... 上期视频我感觉内容写得不是很好，所以重新改进了一个版本~
#四六级 #大学#英语</t>
  </si>
  <si>
    <t>2025-11-15 21:33:26</t>
  </si>
  <si>
    <t>8575</t>
  </si>
  <si>
    <t>0.005136</t>
  </si>
  <si>
    <t>0.196070</t>
  </si>
  <si>
    <t>0.245902</t>
  </si>
  <si>
    <t>0.496517</t>
  </si>
  <si>
    <t>9.380393</t>
  </si>
  <si>
    <t>169</t>
  </si>
  <si>
    <t>104</t>
  </si>
  <si>
    <t>90</t>
  </si>
  <si>
    <t>65</t>
  </si>
  <si>
    <t>如何速通四六级？ #四六级#英语#干货分享</t>
  </si>
  <si>
    <t>2025-11-13 12:00:00</t>
  </si>
  <si>
    <t>2728</t>
  </si>
  <si>
    <t>0.012888</t>
  </si>
  <si>
    <t>0.167154</t>
  </si>
  <si>
    <t>0.109890</t>
  </si>
  <si>
    <t>0.573153</t>
  </si>
  <si>
    <t>10.016459</t>
  </si>
  <si>
    <t>50</t>
  </si>
  <si>
    <t>46</t>
  </si>
  <si>
    <t>四六级备考如何高效背单词？ 这是目前为止我能总结的所有背单词方法了
#四六级#英语#背单词#干货分享</t>
  </si>
  <si>
    <t>2025-11-11 13:02:25</t>
  </si>
  <si>
    <t>2768</t>
  </si>
  <si>
    <t>0.022838</t>
  </si>
  <si>
    <t>0.256452</t>
  </si>
  <si>
    <t>0.091521</t>
  </si>
  <si>
    <t>0.499183</t>
  </si>
  <si>
    <t>11.307743</t>
  </si>
  <si>
    <t>82</t>
  </si>
  <si>
    <t>11</t>
  </si>
  <si>
    <t>58</t>
  </si>
  <si>
    <t>互联网上闹失踪，可能都不会有人注意到你... #人际关系#社交#社交媒体#互联网</t>
  </si>
  <si>
    <t>2025-11-10 12:00:00</t>
  </si>
  <si>
    <t>1592</t>
  </si>
  <si>
    <t>0.012024</t>
  </si>
  <si>
    <t>0.271680</t>
  </si>
  <si>
    <t>0.382656</t>
  </si>
  <si>
    <t>9.143723</t>
  </si>
  <si>
    <t>你专注的能力可能已经退化了... #专注力#时间碎片化#时间管理#自律</t>
  </si>
  <si>
    <t>2025-11-03 12:00:00</t>
  </si>
  <si>
    <t>3362</t>
  </si>
  <si>
    <t>0.015905</t>
  </si>
  <si>
    <t>0.247013</t>
  </si>
  <si>
    <t>0.434289</t>
  </si>
  <si>
    <t>10.095281</t>
  </si>
  <si>
    <t>135</t>
  </si>
  <si>
    <t>54</t>
  </si>
  <si>
    <t>【高效学习】忙碌不等于高产！破解“伪努力”陷阱，4招告别 还在用“忙碌程度”衡量学习效率吗？碎片化刷题只会让你陷入“战术上的勤奋，战略上的懒惰”的陷。
#学习技巧#深度学习#专注力#时间管理#学习效率</t>
  </si>
  <si>
    <t>2025-10-27 12:00:00</t>
  </si>
  <si>
    <t>3043</t>
  </si>
  <si>
    <t>0.013180</t>
  </si>
  <si>
    <t>0.210369</t>
  </si>
  <si>
    <t>0.475877</t>
  </si>
  <si>
    <t>10.362002</t>
  </si>
  <si>
    <t>67</t>
  </si>
  <si>
    <t>10</t>
  </si>
  <si>
    <t>48</t>
  </si>
  <si>
    <t>一个大二文科生思考：张雪峰“文科大有前途” #张雪峰#文科#大学专业#大学生就业#就业市场</t>
  </si>
  <si>
    <t>2025-10-25 17:54:00</t>
  </si>
  <si>
    <t>347468</t>
  </si>
  <si>
    <t>0.025175</t>
  </si>
  <si>
    <t>0.554245</t>
  </si>
  <si>
    <t>0.118768</t>
  </si>
  <si>
    <t>0.272363</t>
  </si>
  <si>
    <t>30.613905</t>
  </si>
  <si>
    <t>7006</t>
  </si>
  <si>
    <t>939</t>
  </si>
  <si>
    <t>213</t>
  </si>
  <si>
    <t>1840</t>
  </si>
  <si>
    <t>3444</t>
  </si>
  <si>
    <t>338</t>
  </si>
  <si>
    <t>一个暴力但有用的英语听力邪修方法 多数人的听力训练方法都错了！调整心态，告别“速成”焦虑，让听力在放松中自然提升！
#听力训练 #英语学习 #高效学习 #高中生</t>
  </si>
  <si>
    <t>2025-10-22 12:00:00</t>
  </si>
  <si>
    <t>5316</t>
  </si>
  <si>
    <t>0.013773</t>
  </si>
  <si>
    <t>0.225051</t>
  </si>
  <si>
    <t>0.085613</t>
  </si>
  <si>
    <t>0.454784</t>
  </si>
  <si>
    <t>12.000187</t>
  </si>
  <si>
    <t>15</t>
  </si>
  <si>
    <t>81</t>
  </si>
  <si>
    <t>122</t>
  </si>
  <si>
    <t>高三逆袭的代价：放弃一个，才能获得“内核稳定” 高三你不是“端水大师”，时间有限。高考中逆袭，必须直面“不可能三角”。主动放弃其中一个，才能带来内核稳定。
#高考逆袭#内核稳定#高中学习#经验分享#学习心得</t>
  </si>
  <si>
    <t>2025-10-19 12:00:00</t>
  </si>
  <si>
    <t>2863</t>
  </si>
  <si>
    <t>0.016614</t>
  </si>
  <si>
    <t>0.244367</t>
  </si>
  <si>
    <t>0.495398</t>
  </si>
  <si>
    <t>9.489051</t>
  </si>
  <si>
    <t>74</t>
  </si>
  <si>
    <t>30</t>
  </si>
  <si>
    <t>不要把别人得到的，当成你失去的。 别人得到了不一样的成就，并不意味着你就失去了什么东西
#拒绝比较#认知思维#高考#高中学习</t>
  </si>
  <si>
    <t>2025-10-14 12:00:00</t>
  </si>
  <si>
    <t>5553</t>
  </si>
  <si>
    <t>0.019231</t>
  </si>
  <si>
    <t>0.287732</t>
  </si>
  <si>
    <t>0.363836</t>
  </si>
  <si>
    <t>9.148542</t>
  </si>
  <si>
    <t>158</t>
  </si>
  <si>
    <t>89</t>
  </si>
  <si>
    <t>治愈内耗：当你不再“依附”任何事情，世界会给你更多选择 Don't get attached to anything，当持续做某件事情让你感到焦虑时，也许你需要变通一下......
#告别焦虑#学会变通#认知提升#数字游民</t>
  </si>
  <si>
    <t>2025-10-10 18:35:00</t>
  </si>
  <si>
    <t>27019</t>
  </si>
  <si>
    <t>0.026262</t>
  </si>
  <si>
    <t>0.345357</t>
  </si>
  <si>
    <t>0.359330</t>
  </si>
  <si>
    <t>15.952073</t>
  </si>
  <si>
    <t>1025</t>
  </si>
  <si>
    <t>629</t>
  </si>
  <si>
    <t>520</t>
  </si>
  <si>
    <t>高中生想要提分，你得尽早脱离学校进度！ 学校进度是根据平均水平设计的，你跟着学校走只能拿到平均水平......
#高考逆袭#高考#逆袭#高中英语#英语</t>
  </si>
  <si>
    <t>2025-09-26 12:00:00</t>
  </si>
  <si>
    <t>10259</t>
  </si>
  <si>
    <t>0.016756</t>
  </si>
  <si>
    <t>0.317471</t>
  </si>
  <si>
    <t>0.391250</t>
  </si>
  <si>
    <t>10.704883</t>
  </si>
  <si>
    <t>419</t>
  </si>
  <si>
    <t>68</t>
  </si>
  <si>
    <t>271</t>
  </si>
  <si>
    <t>193</t>
  </si>
  <si>
    <t>多多记录自己，真的可以改命！ 如果你不知道怎么开始记录自己，或者坚持到一半放弃了，这期视频会有很大帮助
#记录自己#日常#记录#大学 #记录生活</t>
  </si>
  <si>
    <t>2025-09-22 12:00:00</t>
  </si>
  <si>
    <t>140631</t>
  </si>
  <si>
    <t>0.031832</t>
  </si>
  <si>
    <t>0.425027</t>
  </si>
  <si>
    <t>0.297712</t>
  </si>
  <si>
    <t>13.724455</t>
  </si>
  <si>
    <t>6085</t>
  </si>
  <si>
    <t>538</t>
  </si>
  <si>
    <t>4150</t>
  </si>
  <si>
    <t>2644</t>
  </si>
  <si>
    <t>279</t>
  </si>
  <si>
    <t>一个有点暴力但有效的，用英语试卷大量输入的方法！ 如果你就是认为“读英语时文原著是不务正业，英语学习只能是刷题”的话，这个方法会适合你的
#高考英语#高中英语#英语学习#英语#英语原著</t>
  </si>
  <si>
    <t>2025-09-18 12:00:00</t>
  </si>
  <si>
    <t>177153</t>
  </si>
  <si>
    <t>0.041174</t>
  </si>
  <si>
    <t>0.406594</t>
  </si>
  <si>
    <t>0.338263</t>
  </si>
  <si>
    <t>23.681467</t>
  </si>
  <si>
    <t>5402</t>
  </si>
  <si>
    <t>1327</t>
  </si>
  <si>
    <t>142</t>
  </si>
  <si>
    <t>5820</t>
  </si>
  <si>
    <t>3986</t>
  </si>
  <si>
    <t>995</t>
  </si>
  <si>
    <t>也许，你根本不会休息！ 刷手机、打游戏、看小说...你的注意力被别人掌控着，这不是休息。其实最有效的休息方法异常简单...
#休息#刷手机成瘾#精力管理#放松</t>
  </si>
  <si>
    <t>2025-09-15 12:00:00</t>
  </si>
  <si>
    <t>127407</t>
  </si>
  <si>
    <t>0.033580</t>
  </si>
  <si>
    <t>0.346698</t>
  </si>
  <si>
    <t>0.316689</t>
  </si>
  <si>
    <t>12.125905</t>
  </si>
  <si>
    <t>6517</t>
  </si>
  <si>
    <t>737</t>
  </si>
  <si>
    <t>62</t>
  </si>
  <si>
    <t>4447</t>
  </si>
  <si>
    <t>1145</t>
  </si>
  <si>
    <t>260</t>
  </si>
  <si>
    <t>高中英语阅读，到底要不要边读边翻译？ 为什么你会觉得“我只有边读边翻译才能看懂”？为什么我觉得先翻译了再理解是伪命题？
#高中英语#高考#英语学习#英语阅读#英语翻译</t>
  </si>
  <si>
    <t>2025-09-12 12:00:00</t>
  </si>
  <si>
    <t>33008</t>
  </si>
  <si>
    <t>0.033398</t>
  </si>
  <si>
    <t>0.387917</t>
  </si>
  <si>
    <t>0.401033</t>
  </si>
  <si>
    <t>15.977982</t>
  </si>
  <si>
    <t>1096</t>
  </si>
  <si>
    <t>636</t>
  </si>
  <si>
    <t>720</t>
  </si>
  <si>
    <t>75</t>
  </si>
  <si>
    <t>如何解决拖延？只要做这件事5分钟即可！ 开始的时候最好不要想着我要坚持1小时，这样太累了...
#自律#拖延症#解决拖延#自律方法</t>
  </si>
  <si>
    <t>2025-09-09 12:00:00</t>
  </si>
  <si>
    <t>4814</t>
  </si>
  <si>
    <t>0.025201</t>
  </si>
  <si>
    <t>0.247640</t>
  </si>
  <si>
    <t>0.403619</t>
  </si>
  <si>
    <t>7.428009</t>
  </si>
  <si>
    <t>想摆烂了？听听我的暑假总结，即刻杀死你的懒惰！ #暑假#记录生活 #自我提升#成长#励志</t>
  </si>
  <si>
    <t>2025-09-07 11:14:15</t>
  </si>
  <si>
    <t>5309</t>
  </si>
  <si>
    <t>0.008111</t>
  </si>
  <si>
    <t>0.249778</t>
  </si>
  <si>
    <t>0.070489</t>
  </si>
  <si>
    <t>0.418724</t>
  </si>
  <si>
    <t>9.124889</t>
  </si>
  <si>
    <t>177</t>
  </si>
  <si>
    <t>英语语法，对初学者的作用真的不大... 你真正能用对的语法，只有你已经习得的。如何习得呢？大量输入。答案很简单，但这正是大多数人没有做到的原因...
#语言习得 #英语习得 #二语习得 #英语学习 #语言学习</t>
  </si>
  <si>
    <t>2025-09-06 12:00:00</t>
  </si>
  <si>
    <t>48336</t>
  </si>
  <si>
    <t>0.027451</t>
  </si>
  <si>
    <t>0.382536</t>
  </si>
  <si>
    <t>0.379012</t>
  </si>
  <si>
    <t>13.643222</t>
  </si>
  <si>
    <t>1378</t>
  </si>
  <si>
    <t>76</t>
  </si>
  <si>
    <t>86</t>
  </si>
  <si>
    <t>754</t>
  </si>
  <si>
    <t>923</t>
  </si>
  <si>
    <t>171</t>
  </si>
  <si>
    <t>普通人想获得财富自由，最重要的五个因素 纳瓦尔宝典：专长、责任、股权、杠杆和时间。如果你能透彻理解并努力掌握，那么你就已经在财富自由的路上了⭐
#财富自由#赚钱#纳瓦尔宝典#热爱#股权</t>
  </si>
  <si>
    <t>2025-09-03 20:23:44</t>
  </si>
  <si>
    <t>85823</t>
  </si>
  <si>
    <t>0.011694</t>
  </si>
  <si>
    <t>0.297044</t>
  </si>
  <si>
    <t>0.405070</t>
  </si>
  <si>
    <t>10.215767</t>
  </si>
  <si>
    <t>4588</t>
  </si>
  <si>
    <t>247</t>
  </si>
  <si>
    <t>4128</t>
  </si>
  <si>
    <t>1923</t>
  </si>
  <si>
    <t>345</t>
  </si>
  <si>
    <t>把做阅读题的思维，转化成沉浸式输入思维 语言学习的本质是大量可理解输入，i+1，即比你当前的水平高一点的材料。不一定所有人都要去读原著，可以先从英文报刊入手📜
#英语学习#高中英语#英语#语言学习#可理解输入</t>
  </si>
  <si>
    <t>2025-08-29 12:00:00</t>
  </si>
  <si>
    <t>334879</t>
  </si>
  <si>
    <t>0.024398</t>
  </si>
  <si>
    <t>0.378486</t>
  </si>
  <si>
    <t>0.385512</t>
  </si>
  <si>
    <t>12.617556</t>
  </si>
  <si>
    <t>19411</t>
  </si>
  <si>
    <t>1277</t>
  </si>
  <si>
    <t>132</t>
  </si>
  <si>
    <t>9479</t>
  </si>
  <si>
    <t>3924</t>
  </si>
  <si>
    <t>830</t>
  </si>
  <si>
    <t>一个很牛逼的用美剧学习英语的方法❗ 先把要看的剧的字幕下载下来，丢给AI，让它给你整理一个你可能不认识的单词表，每看一集前先过一遍单词，看剧的时候直接看英文字幕，不看中文！
#英语学习#美剧#学习方法#英语</t>
  </si>
  <si>
    <t>2025-08-27 12:00:00</t>
  </si>
  <si>
    <t>1min-视频</t>
  </si>
  <si>
    <t>210781</t>
  </si>
  <si>
    <t>0.047086</t>
  </si>
  <si>
    <t>0.307311</t>
  </si>
  <si>
    <t>0.358731</t>
  </si>
  <si>
    <t>9.516734</t>
  </si>
  <si>
    <t>5751</t>
  </si>
  <si>
    <t>595</t>
  </si>
  <si>
    <t>129</t>
  </si>
  <si>
    <t>4904</t>
  </si>
  <si>
    <t>355</t>
  </si>
  <si>
    <t>我发现，成长就是个不断打自己脸的过程... 过去的判断基于当时的认知，而你的认知水平不可能停留原地，现在回看当初的选择必定会感叹what a shitty choice...
#成长#打脸#认知#决策#沉没成本</t>
  </si>
  <si>
    <t>2025-08-25 11:34:55</t>
  </si>
  <si>
    <t>3051</t>
  </si>
  <si>
    <t>0.021059</t>
  </si>
  <si>
    <t>0.240820</t>
  </si>
  <si>
    <t>0.465414</t>
  </si>
  <si>
    <t>6.802163</t>
  </si>
  <si>
    <t>179</t>
  </si>
  <si>
    <t>英语能力的三个阶梯，大部分人被困在了第一层... 第一层，看不懂；第二层，看得懂但做不对题；第三层，看得懂也做得对题。很多人被困第一层，却想直接跳级第三层...
#独立思考#英语学习#英语#大学英语#高中英语</t>
  </si>
  <si>
    <t>2025-08-22 12:00:00</t>
  </si>
  <si>
    <t>21185</t>
  </si>
  <si>
    <t>0.013581</t>
  </si>
  <si>
    <t>0.266998</t>
  </si>
  <si>
    <t>0.506602</t>
  </si>
  <si>
    <t>8.510927</t>
  </si>
  <si>
    <t>971</t>
  </si>
  <si>
    <t>47</t>
  </si>
  <si>
    <t>652</t>
  </si>
  <si>
    <t>556</t>
  </si>
  <si>
    <t>83</t>
  </si>
  <si>
    <t>英语学习中的重要思维转变✔ 把之前重复背诵的思维，转变成重复应用的思维，在语境中不断遇见一个单词/语法
#英语学习#思维方式转变#英语#多元化思维模型#独立思考</t>
  </si>
  <si>
    <t>2025-08-20 12:00:00</t>
  </si>
  <si>
    <t>128586</t>
  </si>
  <si>
    <t>0.014258</t>
  </si>
  <si>
    <t>0.293713</t>
  </si>
  <si>
    <t>0.447464</t>
  </si>
  <si>
    <t>9.559140</t>
  </si>
  <si>
    <t>5253</t>
  </si>
  <si>
    <t>567</t>
  </si>
  <si>
    <t>109</t>
  </si>
  <si>
    <t>2956</t>
  </si>
  <si>
    <t>1403</t>
  </si>
  <si>
    <t>250</t>
  </si>
  <si>
    <t>你活得越模糊，你就越容易痛苦内耗❗ 模糊的痛苦是最难受的，想办法弄清楚问题的根源，不要含糊其辞
#认知#独立思考#认知思维#内耗#自我成长</t>
  </si>
  <si>
    <t>2025-08-18 16:48:42</t>
  </si>
  <si>
    <t>3070</t>
  </si>
  <si>
    <t>0.016255</t>
  </si>
  <si>
    <t>0.216984</t>
  </si>
  <si>
    <t>0.465095</t>
  </si>
  <si>
    <t>5.962526</t>
  </si>
  <si>
    <t>有时候，努力是完全没有必要的...... 所谓的"给自己压力"拼死拼活，并不能让一件事做的更好，只会让你感觉更糟。。。
#放松#心态调节#摆烂#自律#认知提升</t>
  </si>
  <si>
    <t>2025-08-15 12:00:00</t>
  </si>
  <si>
    <t>4047</t>
  </si>
  <si>
    <t>0.003192</t>
  </si>
  <si>
    <t>0.184426</t>
  </si>
  <si>
    <t>0.279970</t>
  </si>
  <si>
    <t>0.480419</t>
  </si>
  <si>
    <t>6.291439</t>
  </si>
  <si>
    <t>40</t>
  </si>
  <si>
    <t>高中英语写作，一个重要思维：模板思维❗ 考场上的大部分金句高级语法不是现场写的，都是考前提前背好，上考场时直接默写的！
#高考英语#英语写作#英语学习#应试技巧</t>
  </si>
  <si>
    <t>2025-08-13 12:45:00</t>
  </si>
  <si>
    <t>4354</t>
  </si>
  <si>
    <t>0.047586</t>
  </si>
  <si>
    <t>0.215352</t>
  </si>
  <si>
    <t>0.547122</t>
  </si>
  <si>
    <t>12.275480</t>
  </si>
  <si>
    <t>80</t>
  </si>
  <si>
    <t>学英语坚持不下去，可能是因为你太痛苦了❗ 坚持是需要有刚需的，你得想办法英语学习变成一件每天不做难受的刚需！
#英语学习#自律#坚持自律#英语#自我提升</t>
  </si>
  <si>
    <t>2025-08-11 11:44:09</t>
  </si>
  <si>
    <t>13464</t>
  </si>
  <si>
    <t>0.025388</t>
  </si>
  <si>
    <t>0.283236</t>
  </si>
  <si>
    <t>0.422352</t>
  </si>
  <si>
    <t>12.964977</t>
  </si>
  <si>
    <t>436</t>
  </si>
  <si>
    <t>263</t>
  </si>
  <si>
    <t>314</t>
  </si>
  <si>
    <t>无障碍口语三步走👄 第一步：认识词汇，日常话题的常用词汇先背起来
第二步：影子跟读法，重点模仿语音语调
第三步：自己多练，比如利用走路碎片化时间自己和自己/AI对话
#英语口语#英语学习#英语#口语流畅度#大学英语</t>
  </si>
  <si>
    <t>2025-08-08 10:28:26</t>
  </si>
  <si>
    <t>3623</t>
  </si>
  <si>
    <t>0.065953</t>
  </si>
  <si>
    <t>0.249934</t>
  </si>
  <si>
    <t>0.563074</t>
  </si>
  <si>
    <t>16.630999</t>
  </si>
  <si>
    <t>十分抱歉，我觉得我犯了个错误...... 我犯了一个错误，我可能不应该建议大家去读原著的。。。
#英语学习 #英语原著 #英语 #大学英语 #高中英语</t>
  </si>
  <si>
    <t>2025-08-05 21:40:25</t>
  </si>
  <si>
    <t>7783</t>
  </si>
  <si>
    <t>0.049962</t>
  </si>
  <si>
    <t>0.408524</t>
  </si>
  <si>
    <t>0.368511</t>
  </si>
  <si>
    <t>16.213330</t>
  </si>
  <si>
    <t>152</t>
  </si>
  <si>
    <t>249</t>
  </si>
  <si>
    <t>我有两招，教你无脑自律 第一步，提前设计好每日的流程，之后重复无脑执行；第二步，为流程添加灵活度，用最低限度让习惯存活下去不会断掉，保证长期复利增长🎯
#自律#自我提升#认知#认知提升#个人成长</t>
  </si>
  <si>
    <t>2025-08-03 21:36:36</t>
  </si>
  <si>
    <t>100673</t>
  </si>
  <si>
    <t>0.015813</t>
  </si>
  <si>
    <t>0.298278</t>
  </si>
  <si>
    <t>0.381837</t>
  </si>
  <si>
    <t>9.694258</t>
  </si>
  <si>
    <t>4287</t>
  </si>
  <si>
    <t>352</t>
  </si>
  <si>
    <t>2493</t>
  </si>
  <si>
    <t>1156</t>
  </si>
  <si>
    <t>155</t>
  </si>
  <si>
    <t>今天想休息一下🥹#音乐制作</t>
  </si>
  <si>
    <t>2025-08-03 14:29:28</t>
  </si>
  <si>
    <t>817</t>
  </si>
  <si>
    <t>0.003529</t>
  </si>
  <si>
    <t>0.058306</t>
  </si>
  <si>
    <t>0.726073</t>
  </si>
  <si>
    <t>2.599560</t>
  </si>
  <si>
    <t>想休息一天🥹#编曲 #音乐制作</t>
  </si>
  <si>
    <t>2025-08-03 14:27:27</t>
  </si>
  <si>
    <t>0.500000</t>
  </si>
  <si>
    <t>6.000000</t>
  </si>
  <si>
    <t>英语语法学习指南❗ 希望对你有帮助啊💖
#英语学习 #英语语法 #高中英语</t>
  </si>
  <si>
    <t>2025-08-01 16:57:44</t>
  </si>
  <si>
    <t>5032</t>
  </si>
  <si>
    <t>0.088408</t>
  </si>
  <si>
    <t>0.249674</t>
  </si>
  <si>
    <t>0.533606</t>
  </si>
  <si>
    <t>18.637870</t>
  </si>
  <si>
    <t>72</t>
  </si>
  <si>
    <t>如何用暑假两个月时间四级600+ 关于阅读、听力、写作和翻译的顶层原则 | 希望对你有帮助📋
#大学四级 #大学英语 #英语学习 #英语听力 #英语作文</t>
  </si>
  <si>
    <t>2025-07-30 16:34:10</t>
  </si>
  <si>
    <t>10521</t>
  </si>
  <si>
    <t>0.064264</t>
  </si>
  <si>
    <t>0.326780</t>
  </si>
  <si>
    <t>0.295132</t>
  </si>
  <si>
    <t>0.407743</t>
  </si>
  <si>
    <t>20.842300</t>
  </si>
  <si>
    <t>214</t>
  </si>
  <si>
    <t>131</t>
  </si>
  <si>
    <t>161</t>
  </si>
  <si>
    <t>31</t>
  </si>
  <si>
    <t>真心吐槽四六级的听力...... 难道只有我觉得四六级的听力考试方式真的很奇怪吗❓
#四六级 #大学英语 #英语听力 #英语学习 #英语</t>
  </si>
  <si>
    <t>2025-07-28 15:18:30</t>
  </si>
  <si>
    <t>4912015</t>
  </si>
  <si>
    <t>0.028260</t>
  </si>
  <si>
    <t>0.504652</t>
  </si>
  <si>
    <t>0.267267</t>
  </si>
  <si>
    <t>25.582419</t>
  </si>
  <si>
    <t>223523</t>
  </si>
  <si>
    <t>43985</t>
  </si>
  <si>
    <t>11101</t>
  </si>
  <si>
    <t>17999</t>
  </si>
  <si>
    <t>74978</t>
  </si>
  <si>
    <t>2487</t>
  </si>
  <si>
    <t>做自媒体一两个月了，第一次私信回复 1. 游戏推荐 —— 00:01
2. 英语学习是否要语言环境 —— 00:21
3. 五/六年、级初一/二/三、高一/二/三英语原著推荐 —— 01:27
4. （哈利波特等）原著怎么读，精读还是泛读，是否中英对照 —— 03:00
5. 我用什么软件读书/听博客的 —— 04:52
6. Youtube/Zlibrary/Spotify怎么用 —— 05:25
7. 关于我的英语原著阅读社群 —— 05:43
8. 不想背单词有什么好方法/不想背 3500 怎么提升词汇量 —— 06:37
9. 3500 单词书推荐/语法书推荐 —— 07:19
#英语学习 #英语原著 #高中英语#背单词 #高中3500词汇</t>
  </si>
  <si>
    <t>2025-07-24 15:24:29</t>
  </si>
  <si>
    <t>3984</t>
  </si>
  <si>
    <t>0.029535</t>
  </si>
  <si>
    <t>0.291454</t>
  </si>
  <si>
    <t>0.138492</t>
  </si>
  <si>
    <t>0.419643</t>
  </si>
  <si>
    <t>27.085459</t>
  </si>
  <si>
    <t>84</t>
  </si>
  <si>
    <t>34</t>
  </si>
  <si>
    <t>88</t>
  </si>
  <si>
    <t>一个原则，让你从此不再半途而废 The Law of 100，来自于Noah Kagan的书Milion Dollar Weekend：在你把一件事情重复100遍之前，你没有权利选择放弃❗
#认知 #认知思维 #坚持自律 #自我提升 #英语原著</t>
  </si>
  <si>
    <t>2025-07-23 15:18:17</t>
  </si>
  <si>
    <t>105414</t>
  </si>
  <si>
    <t>0.013275</t>
  </si>
  <si>
    <t>0.335624</t>
  </si>
  <si>
    <t>0.331056</t>
  </si>
  <si>
    <t>13.116533</t>
  </si>
  <si>
    <t>4771</t>
  </si>
  <si>
    <t>406</t>
  </si>
  <si>
    <t>3173</t>
  </si>
  <si>
    <t>1832</t>
  </si>
  <si>
    <t>223</t>
  </si>
  <si>
    <t>准大学生如何暑假爆改英语❗ 如何用一个暑假时间词汇量提升3000+，12月四级600+，希望对你有帮助🎉
#四级考试 #准大学 #准大学生 #大学英语 #英语</t>
  </si>
  <si>
    <t>2025-07-22 16:43:52</t>
  </si>
  <si>
    <t>41075</t>
  </si>
  <si>
    <t>0.015525</t>
  </si>
  <si>
    <t>0.301426</t>
  </si>
  <si>
    <t>0.123030</t>
  </si>
  <si>
    <t>0.442887</t>
  </si>
  <si>
    <t>12.612420</t>
  </si>
  <si>
    <t>1022</t>
  </si>
  <si>
    <t>577</t>
  </si>
  <si>
    <t>1064</t>
  </si>
  <si>
    <t>听力无法满分，无非就两个原因... 高中听力无法满分的两个原因，解决方法也很简单，但是需要坚持，希望对各位有帮助🎯
#英语听力#高中英语#高考#听力练习#英语学习</t>
  </si>
  <si>
    <t>2025-07-21 15:44:18</t>
  </si>
  <si>
    <t>6048</t>
  </si>
  <si>
    <t>0.041968</t>
  </si>
  <si>
    <t>0.338138</t>
  </si>
  <si>
    <t>0.443184</t>
  </si>
  <si>
    <t>13.875633</t>
  </si>
  <si>
    <t>133</t>
  </si>
  <si>
    <t>25</t>
  </si>
  <si>
    <t>71</t>
  </si>
  <si>
    <t>大学生要对自己好点，就是资本的局❗ 大学生要对自己好一点这句话就是资本给你的局❗
#认知#认知提升#自我提升#大学生</t>
  </si>
  <si>
    <t>2025-07-20 15:53:41</t>
  </si>
  <si>
    <t>2245</t>
  </si>
  <si>
    <t>0.030541</t>
  </si>
  <si>
    <t>0.239609</t>
  </si>
  <si>
    <t>0.515485</t>
  </si>
  <si>
    <t>9.970660</t>
  </si>
  <si>
    <t>节假日，就是韭菜收割机 你以为自己在节假日出去旅游是在放松，事实上你却被变成了韭菜，在被默默被收割节假日，就是韭菜收割机❗
#节假日 #认知 #认知提升 #自我提升</t>
  </si>
  <si>
    <t>2025-07-19 16:29:25</t>
  </si>
  <si>
    <t>10355</t>
  </si>
  <si>
    <t>0.052180</t>
  </si>
  <si>
    <t>0.432561</t>
  </si>
  <si>
    <t>0.348621</t>
  </si>
  <si>
    <t>15.299035</t>
  </si>
  <si>
    <t>272</t>
  </si>
  <si>
    <t>120</t>
  </si>
  <si>
    <t>让你上140的背单词秘诀❗ 给想要学好英语的你的高分指南，希望可以帮助到大家📝 
#高中生#英语学习#高中英语#背单词 #词汇量</t>
  </si>
  <si>
    <t>2025-07-17 15:17:53</t>
  </si>
  <si>
    <t>101616</t>
  </si>
  <si>
    <t>0.029219</t>
  </si>
  <si>
    <t>0.279911</t>
  </si>
  <si>
    <t>0.414248</t>
  </si>
  <si>
    <t>13.428390</t>
  </si>
  <si>
    <t>2055</t>
  </si>
  <si>
    <t>433</t>
  </si>
  <si>
    <t>99</t>
  </si>
  <si>
    <t>2054</t>
  </si>
  <si>
    <t>1443</t>
  </si>
  <si>
    <t>285</t>
  </si>
  <si>
    <t>高中词汇量想上4000？你得了解记忆的底层原理... 记忆一切材料的底层原理 | 背单词前你需要了解理论，才能保证你背单词不走偏路❗ 
#高考英语 #高中英语 #英语学习 #背单词方法 #词汇量提升</t>
  </si>
  <si>
    <t>2025-07-16 15:58:29</t>
  </si>
  <si>
    <t>101916</t>
  </si>
  <si>
    <t>0.009901</t>
  </si>
  <si>
    <t>0.303453</t>
  </si>
  <si>
    <t>0.252997</t>
  </si>
  <si>
    <t>0.432388</t>
  </si>
  <si>
    <t>11.409290</t>
  </si>
  <si>
    <t>4103</t>
  </si>
  <si>
    <t>407</t>
  </si>
  <si>
    <t>42</t>
  </si>
  <si>
    <t>2478</t>
  </si>
  <si>
    <t>2488</t>
  </si>
  <si>
    <t>463</t>
  </si>
  <si>
    <t>高考英语140+，你必须得有这三个制胜要素... 高考英语140+必看 👀 | 给想要学好英语的你的高分指南，希望可以帮助到大家📝</t>
  </si>
  <si>
    <t>2025-07-15 15:27:02</t>
  </si>
  <si>
    <t>212710</t>
  </si>
  <si>
    <t>0.021504</t>
  </si>
  <si>
    <t>0.370830</t>
  </si>
  <si>
    <t>0.476847</t>
  </si>
  <si>
    <t>0.393019</t>
  </si>
  <si>
    <t>19.074269</t>
  </si>
  <si>
    <t>7175</t>
  </si>
  <si>
    <t>1580</t>
  </si>
  <si>
    <t>305</t>
  </si>
  <si>
    <t>4978</t>
  </si>
  <si>
    <t>3303</t>
  </si>
  <si>
    <t>597</t>
  </si>
  <si>
    <t>你越自私，大学人际烦恼越少！ #大学 #认知 #人际关系 #人际矛盾</t>
  </si>
  <si>
    <t>2025-07-12 12:11:06</t>
  </si>
  <si>
    <t>0.012540</t>
  </si>
  <si>
    <t>0.333117</t>
  </si>
  <si>
    <t>0.375000</t>
  </si>
  <si>
    <t>13.094805</t>
  </si>
  <si>
    <t>高二读了9本原著，然后就再也没有上过英语课了... 掌握英语有两条路：学习和习得。学校以“学习式”教育教了我们12年英语却基本没有效果，我是怎么找到另一条路“习得”，并且有勇气脱离学校路线去走自己的路呢？ 
初升高暑假，我”沉迷“一款英语剧情小说游戏，词汇量语感等隐性能力提升，高中开学的第一个英语考试就考了130.5，全班第一，分班后继续读原著，不再跟学校，能力不降反增，巅峰排名是单科英语校第3。脱离学校，最后高考英语也能143 
#高中  #高考英语  #高二  #英语原著  #英语学习</t>
  </si>
  <si>
    <t>2025-07-11 07:38:28</t>
  </si>
  <si>
    <t>164675</t>
  </si>
  <si>
    <t>0.006996</t>
  </si>
  <si>
    <t>0.391418</t>
  </si>
  <si>
    <t>0.130069</t>
  </si>
  <si>
    <t>0.393547</t>
  </si>
  <si>
    <t>16.385807</t>
  </si>
  <si>
    <t>10970</t>
  </si>
  <si>
    <t>1380</t>
  </si>
  <si>
    <t>136</t>
  </si>
  <si>
    <t>6502</t>
  </si>
  <si>
    <t>6252</t>
  </si>
  <si>
    <t>906</t>
  </si>
  <si>
    <t>"无人在意，我在干什么..." #大学生 #认知思维 #他人的看法</t>
  </si>
  <si>
    <t>2025-07-09 14:57:31</t>
  </si>
  <si>
    <t>1030</t>
  </si>
  <si>
    <t>0.021277</t>
  </si>
  <si>
    <t>0.235858</t>
  </si>
  <si>
    <t>0.090991</t>
  </si>
  <si>
    <t>0.450623</t>
  </si>
  <si>
    <t>15.964525</t>
  </si>
  <si>
    <t>背单词总是记不住？你只做错了一个地方... #英语学习 #背单词 #目的性</t>
  </si>
  <si>
    <t>2025-07-06 19:50:18</t>
  </si>
  <si>
    <t>3720</t>
  </si>
  <si>
    <t>0.067358</t>
  </si>
  <si>
    <t>0.343006</t>
  </si>
  <si>
    <t>0.365351</t>
  </si>
  <si>
    <t>19.282647</t>
  </si>
  <si>
    <t>背单词记不住？你只做错了一件事情... #英语学习 #背单词 #目的性</t>
  </si>
  <si>
    <t>2025-07-04 14:10:07</t>
  </si>
  <si>
    <t>0.020685</t>
  </si>
  <si>
    <t>0.263341</t>
  </si>
  <si>
    <t>0.394432</t>
  </si>
  <si>
    <t>10.985499</t>
  </si>
  <si>
    <t>也许你从未离开舒适圈 #舒适圈 #学习 #困难总会过去</t>
  </si>
  <si>
    <t>2025-07-02 14:29:05</t>
  </si>
  <si>
    <t>2181</t>
  </si>
  <si>
    <t>0.024269</t>
  </si>
  <si>
    <t>0.259769</t>
  </si>
  <si>
    <t>0.372558</t>
  </si>
  <si>
    <t>10.657638</t>
  </si>
  <si>
    <t>高考后迷茫了你该做什么？ #高考 #大学生迷茫 #准大学生</t>
  </si>
  <si>
    <t>2025-06-30 14:37:32</t>
  </si>
  <si>
    <t>3752</t>
  </si>
  <si>
    <t>0.022995</t>
  </si>
  <si>
    <t>0.327699</t>
  </si>
  <si>
    <t>0.075061</t>
  </si>
  <si>
    <t>0.387829</t>
  </si>
  <si>
    <t>14.576189</t>
  </si>
  <si>
    <t>39</t>
  </si>
  <si>
    <t>85</t>
  </si>
  <si>
    <t>高中英语怎么突围？教你一招不常规的方法 #英语学习 #英语没那么难 #高中英语</t>
  </si>
  <si>
    <t>2025-06-10 14:36:51</t>
  </si>
  <si>
    <t>267204</t>
  </si>
  <si>
    <t>0.039134</t>
  </si>
  <si>
    <t>0.269866</t>
  </si>
  <si>
    <t>0.135267</t>
  </si>
  <si>
    <t>0.389773</t>
  </si>
  <si>
    <t>22.507039</t>
  </si>
  <si>
    <t>5973</t>
  </si>
  <si>
    <t>1615</t>
  </si>
  <si>
    <t>325</t>
  </si>
  <si>
    <t>4768</t>
  </si>
  <si>
    <t>838</t>
  </si>
  <si>
    <t>英语好到底有什么用？ #英语学习 #英语 #学习</t>
  </si>
  <si>
    <t>2025-06-06 14:01:50</t>
  </si>
  <si>
    <t>5431</t>
  </si>
  <si>
    <t>0.034539</t>
  </si>
  <si>
    <t>0.420566</t>
  </si>
  <si>
    <t>0.536464</t>
  </si>
  <si>
    <t>0.324617</t>
  </si>
  <si>
    <t>30.753637</t>
  </si>
  <si>
    <t>114</t>
  </si>
  <si>
    <t>139</t>
  </si>
  <si>
    <t>给高考生：来自24届失败者的自述 25届高考考生们金榜题名！ 
﻿#2025高考﻿﻿#高考加油 #经验分享</t>
  </si>
  <si>
    <t>2025-06-01 23:47:52</t>
  </si>
  <si>
    <t>2099</t>
  </si>
  <si>
    <t>0.027144</t>
  </si>
  <si>
    <t>0.383304</t>
  </si>
  <si>
    <t>0.214953</t>
  </si>
  <si>
    <t>0.343969</t>
  </si>
  <si>
    <t>30.967657</t>
  </si>
  <si>
    <t>你学AI，也许就是在玩 #AI学习 #价值生产 #专精</t>
  </si>
  <si>
    <t>2025-05-27 09:13:42</t>
  </si>
  <si>
    <t>1347</t>
  </si>
  <si>
    <t>0.028046</t>
  </si>
  <si>
    <t>0.307390</t>
  </si>
  <si>
    <t>0.373428</t>
  </si>
  <si>
    <t>14.425314</t>
  </si>
  <si>
    <t>如何完成所有你想做的事情？ #精力管理 #注意力拯救 #时间管理</t>
  </si>
  <si>
    <t>2025-05-23 19:37:25</t>
  </si>
  <si>
    <t>1946</t>
  </si>
  <si>
    <t>0.025061</t>
  </si>
  <si>
    <t>0.237700</t>
  </si>
  <si>
    <t>0.469320</t>
  </si>
  <si>
    <t>11.715312</t>
  </si>
  <si>
    <t>教你如何预测未来 #预测未来 #反脆弱 #预测</t>
  </si>
  <si>
    <t>2025-05-20 12:47:59</t>
  </si>
  <si>
    <t>1760</t>
  </si>
  <si>
    <t>0.025268</t>
  </si>
  <si>
    <t>0.250725</t>
  </si>
  <si>
    <t>0.499710</t>
  </si>
  <si>
    <t>12.385955</t>
  </si>
  <si>
    <t>有了AI，就不用学英语了？ #英语学习 #AI #应试英语</t>
  </si>
  <si>
    <t>2025-05-18 08:01:04</t>
  </si>
  <si>
    <t>1715</t>
  </si>
  <si>
    <t>0.107692</t>
  </si>
  <si>
    <t>0.283717</t>
  </si>
  <si>
    <t>0.455592</t>
  </si>
  <si>
    <t>22.806743</t>
  </si>
  <si>
    <t>如何打破信息茧房，弥补信息差？ #信息茧房 ﻿#信息差破冰 #算法背后</t>
  </si>
  <si>
    <t>2025-05-16 16:40:24</t>
  </si>
  <si>
    <t>1043</t>
  </si>
  <si>
    <t>0.021687</t>
  </si>
  <si>
    <t>0.231189</t>
  </si>
  <si>
    <t>0.413304</t>
  </si>
  <si>
    <t>9.507088</t>
  </si>
  <si>
    <t>AI时代，如何高效学习编程？ #AI #编程学习 #编程 #AI编程</t>
  </si>
  <si>
    <t>2025-05-14 15:28:30</t>
  </si>
  <si>
    <t>806</t>
  </si>
  <si>
    <t>0.020040</t>
  </si>
  <si>
    <t>0.209854</t>
  </si>
  <si>
    <t>0.412409</t>
  </si>
  <si>
    <t>11.306569</t>
  </si>
  <si>
    <t>AI时代，还有必要学习编程吗？ #AI #编程 #AI编程</t>
  </si>
  <si>
    <t>2025-05-14 15:26:56</t>
  </si>
  <si>
    <t>914</t>
  </si>
  <si>
    <t>0.046233</t>
  </si>
  <si>
    <t>0.293210</t>
  </si>
  <si>
    <t>0.424383</t>
  </si>
  <si>
    <t>15.750000</t>
  </si>
  <si>
    <t>如何无痛阅读英文原著？ #英语学习 #英文原著 #阅读</t>
  </si>
  <si>
    <t>2025-05-14 15:25:20</t>
  </si>
  <si>
    <t>2406</t>
  </si>
  <si>
    <t>0.209889</t>
  </si>
  <si>
    <t>0.450749</t>
  </si>
  <si>
    <t>0.312057</t>
  </si>
  <si>
    <t>32.583136</t>
  </si>
  <si>
    <t>59</t>
  </si>
  <si>
    <t>学英语，别读英文名著 #英语学习 #英文原著 #词汇量</t>
  </si>
  <si>
    <t>2025-05-14 15:23:32</t>
  </si>
  <si>
    <t>2927</t>
  </si>
  <si>
    <t>0.149829</t>
  </si>
  <si>
    <t>0.476567</t>
  </si>
  <si>
    <t>0.298844</t>
  </si>
  <si>
    <t>31.103469</t>
  </si>
  <si>
    <t>一招，让你的词汇量过万 #英语学习 #词汇量 #英文原著</t>
  </si>
  <si>
    <t>2025-05-14 15:21:30</t>
  </si>
  <si>
    <t>3604</t>
  </si>
  <si>
    <t>0.084766</t>
  </si>
  <si>
    <t>0.377863</t>
  </si>
  <si>
    <t>0.288608</t>
  </si>
  <si>
    <t>32.936876</t>
  </si>
  <si>
    <t>156</t>
  </si>
  <si>
    <t>公开</t>
    <phoneticPr fontId="1" type="noConversion"/>
  </si>
  <si>
    <t>曝光</t>
  </si>
  <si>
    <t>观看量</t>
  </si>
  <si>
    <t>点赞</t>
  </si>
  <si>
    <t>评论</t>
  </si>
  <si>
    <t>收藏</t>
  </si>
  <si>
    <t>涨粉</t>
  </si>
  <si>
    <t>分享</t>
  </si>
  <si>
    <t>人均观看时长</t>
  </si>
  <si>
    <t>弹幕</t>
  </si>
  <si>
    <t>笔记标题</t>
  </si>
  <si>
    <t>首次发布时间</t>
  </si>
  <si>
    <t>四六级备考, 可能不存在计划</t>
  </si>
  <si>
    <t>2026年04月06日12时02分37秒</t>
  </si>
  <si>
    <t>视频</t>
  </si>
  <si>
    <t>备考四六级, 平均用力等于无效</t>
  </si>
  <si>
    <t>2026年04月03日12时01分34秒</t>
  </si>
  <si>
    <t>英语阅读生词太多？反而是你读得太少了</t>
  </si>
  <si>
    <t>2026年03月31日12时01分28秒</t>
  </si>
  <si>
    <t>大学生学英语，存在一个致命问题</t>
  </si>
  <si>
    <t>2026年03月29日12时01分25秒</t>
  </si>
  <si>
    <t>四六级备考，一定要避开的三个天坑</t>
  </si>
  <si>
    <t>2026年03月26日12时01分34秒</t>
  </si>
  <si>
    <t>脱离学校课题，夺回英语主动权</t>
  </si>
  <si>
    <t>2026年03月23日12时20分42秒</t>
  </si>
  <si>
    <t>影子跟读法可能不会让口语进步...</t>
  </si>
  <si>
    <t>2026年03月18日12时00分52秒</t>
  </si>
  <si>
    <t>如何破圈应试英语教育？</t>
  </si>
  <si>
    <t>2026年03月15日12时20分57秒</t>
  </si>
  <si>
    <t>2026年03月14日11时11分20秒</t>
  </si>
  <si>
    <t>四六级备考避这开三个坑，你也可以600+</t>
  </si>
  <si>
    <t>2026年03月11日12时00分50秒</t>
  </si>
  <si>
    <t>你的英语口语，真的像你想的那么烂吗？</t>
  </si>
  <si>
    <t>2026年03月09日12时00分36秒</t>
  </si>
  <si>
    <t>新闻拆解：Anthropic公司与美军的道德争论</t>
  </si>
  <si>
    <t>2026年03月07日13时53分43秒</t>
  </si>
  <si>
    <t>语法规则好多，真的背不下来咋办......</t>
  </si>
  <si>
    <t>2026年03月05日12时00分41秒</t>
  </si>
  <si>
    <t>二刷阅读满分有感~</t>
  </si>
  <si>
    <t>2026年03月02日16时50分45秒</t>
  </si>
  <si>
    <t>二刷六级，阅读满分有感</t>
  </si>
  <si>
    <t>2026年03月01日10时28分55秒</t>
  </si>
  <si>
    <t>为和平，上场！</t>
  </si>
  <si>
    <t>2026年02月14日21时00分21秒</t>
  </si>
  <si>
    <t>第一次出国竟然给了泰国🇹🇭</t>
  </si>
  <si>
    <t>2026年01月17日00时38分15秒</t>
  </si>
  <si>
    <t>2025年12月14日14时50分05秒</t>
  </si>
  <si>
    <t>历史垃圾时间，你为什么一定要读书？</t>
  </si>
  <si>
    <t>2025年12月03日10时02分30秒</t>
  </si>
  <si>
    <t>我是怎么在一年内看完20多本英语原著的？</t>
  </si>
  <si>
    <t>2025年11月24日19时02分22秒</t>
  </si>
  <si>
    <t>最后一次四六级救命机会！</t>
  </si>
  <si>
    <t>2025年11月17日12时16分34秒</t>
  </si>
  <si>
    <t>还剩一个月，四六级还能救命过线吗......</t>
  </si>
  <si>
    <t>2025年11月15日21时33分38秒</t>
  </si>
  <si>
    <t>如何速通四六级？</t>
  </si>
  <si>
    <t>2025年11月13日12时00分53秒</t>
  </si>
  <si>
    <t>四六级备考如何高效背单词？</t>
  </si>
  <si>
    <t>2025年11月11日13时02分05秒</t>
  </si>
  <si>
    <t>互联网上闹失踪，可能都不会有人注意到你</t>
  </si>
  <si>
    <t>2025年11月10日12时01分20秒</t>
  </si>
  <si>
    <t>你的专注力可能已经退化了...</t>
  </si>
  <si>
    <t>2025年11月03日12时00分42秒</t>
  </si>
  <si>
    <t>【高效学习】忙碌不等于高产 4招破解伪努力</t>
  </si>
  <si>
    <t>2025年10月27日12时01分17秒</t>
  </si>
  <si>
    <t>大二文科生的思考：张雪峰“文科大有前途”</t>
  </si>
  <si>
    <t>2025年10月25日17时54分38秒</t>
  </si>
  <si>
    <t>2025年10月22日12时00分52秒</t>
  </si>
  <si>
    <t>高三逆袭的代价：放弃一个才能获得内核稳定</t>
  </si>
  <si>
    <t>2025年10月18日12时00分51秒</t>
  </si>
  <si>
    <t>不要把别人得到的，当成你失去的。</t>
  </si>
  <si>
    <t>2025年10月14日12时00分45秒</t>
  </si>
  <si>
    <t>当你不依附任何事情，世界会给你更多选择</t>
  </si>
  <si>
    <t>2025年10月10日16时40分04秒</t>
  </si>
  <si>
    <t>播放量</t>
    <phoneticPr fontId="1" type="noConversion"/>
  </si>
  <si>
    <t>完播率</t>
    <phoneticPr fontId="1" type="noConversion"/>
  </si>
  <si>
    <r>
      <t>5s</t>
    </r>
    <r>
      <rPr>
        <sz val="12"/>
        <rFont val="微软雅黑"/>
        <family val="2"/>
        <charset val="134"/>
      </rPr>
      <t>完播率</t>
    </r>
    <phoneticPr fontId="1" type="noConversion"/>
  </si>
  <si>
    <t>封面点击率</t>
    <phoneticPr fontId="1" type="noConversion"/>
  </si>
  <si>
    <r>
      <t>2s</t>
    </r>
    <r>
      <rPr>
        <sz val="12"/>
        <rFont val="微软雅黑"/>
        <family val="2"/>
        <charset val="134"/>
      </rPr>
      <t>跳出率</t>
    </r>
    <phoneticPr fontId="1" type="noConversion"/>
  </si>
  <si>
    <t>平均播放时长</t>
    <phoneticPr fontId="1" type="noConversion"/>
  </si>
  <si>
    <t>点赞量</t>
    <phoneticPr fontId="1" type="noConversion"/>
  </si>
  <si>
    <r>
      <rPr>
        <sz val="12"/>
        <rFont val="微软雅黑"/>
        <family val="2"/>
        <charset val="134"/>
      </rPr>
      <t>高中英语怎么突围？教你一招不常规的方法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英语学习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英语没那么难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高中英语</t>
    </r>
    <phoneticPr fontId="1" type="noConversion"/>
  </si>
  <si>
    <r>
      <rPr>
        <sz val="12"/>
        <rFont val="微软雅黑"/>
        <family val="2"/>
        <charset val="134"/>
      </rPr>
      <t>高考英语</t>
    </r>
    <r>
      <rPr>
        <sz val="12"/>
        <rFont val="Verdana"/>
        <family val="2"/>
      </rPr>
      <t>140+</t>
    </r>
    <r>
      <rPr>
        <sz val="12"/>
        <rFont val="微软雅黑"/>
        <family val="2"/>
        <charset val="134"/>
      </rPr>
      <t>，你必须得有这三个制胜要素</t>
    </r>
    <r>
      <rPr>
        <sz val="12"/>
        <rFont val="Verdana"/>
        <family val="2"/>
      </rPr>
      <t xml:space="preserve">... </t>
    </r>
    <r>
      <rPr>
        <sz val="12"/>
        <rFont val="微软雅黑"/>
        <family val="2"/>
        <charset val="134"/>
      </rPr>
      <t>高考英语</t>
    </r>
    <r>
      <rPr>
        <sz val="12"/>
        <rFont val="Verdana"/>
        <family val="2"/>
      </rPr>
      <t>140+</t>
    </r>
    <r>
      <rPr>
        <sz val="12"/>
        <rFont val="微软雅黑"/>
        <family val="2"/>
        <charset val="134"/>
      </rPr>
      <t>必看</t>
    </r>
    <r>
      <rPr>
        <sz val="12"/>
        <rFont val="Verdana"/>
        <family val="2"/>
      </rPr>
      <t xml:space="preserve"> </t>
    </r>
    <r>
      <rPr>
        <sz val="12"/>
        <rFont val="Segoe UI Emoji"/>
        <family val="2"/>
      </rPr>
      <t>👀</t>
    </r>
    <r>
      <rPr>
        <sz val="12"/>
        <rFont val="Verdana"/>
        <family val="2"/>
      </rPr>
      <t xml:space="preserve"> | </t>
    </r>
    <r>
      <rPr>
        <sz val="12"/>
        <rFont val="微软雅黑"/>
        <family val="2"/>
        <charset val="134"/>
      </rPr>
      <t>给想要学好英语的你的高分指南，希望可以帮助到大家</t>
    </r>
    <r>
      <rPr>
        <sz val="12"/>
        <rFont val="Segoe UI Emoji"/>
        <family val="2"/>
      </rPr>
      <t>📝</t>
    </r>
    <phoneticPr fontId="1" type="noConversion"/>
  </si>
  <si>
    <r>
      <rPr>
        <sz val="12"/>
        <rFont val="微软雅黑"/>
        <family val="2"/>
        <charset val="134"/>
      </rPr>
      <t>一个大二文科生思考：张雪峰</t>
    </r>
    <r>
      <rPr>
        <sz val="12"/>
        <rFont val="Verdana"/>
        <family val="2"/>
      </rPr>
      <t>“</t>
    </r>
    <r>
      <rPr>
        <sz val="12"/>
        <rFont val="微软雅黑"/>
        <family val="2"/>
        <charset val="134"/>
      </rPr>
      <t>文科大有前途</t>
    </r>
    <r>
      <rPr>
        <sz val="12"/>
        <rFont val="Verdana"/>
        <family val="2"/>
      </rPr>
      <t>” #</t>
    </r>
    <r>
      <rPr>
        <sz val="12"/>
        <rFont val="微软雅黑"/>
        <family val="2"/>
        <charset val="134"/>
      </rPr>
      <t>张雪峰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文科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大学专业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大学生就业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就业市场</t>
    </r>
    <phoneticPr fontId="1" type="noConversion"/>
  </si>
  <si>
    <r>
      <rPr>
        <sz val="12"/>
        <rFont val="微软雅黑"/>
        <family val="2"/>
        <charset val="134"/>
      </rPr>
      <t>四六级你真的不应该拉长战线复习几个月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四六级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大学英语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英语</t>
    </r>
    <phoneticPr fontId="1" type="noConversion"/>
  </si>
  <si>
    <r>
      <rPr>
        <sz val="12"/>
        <rFont val="微软雅黑"/>
        <family val="2"/>
        <charset val="134"/>
      </rPr>
      <t>二刷六级，阅读满分有感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四六级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六级英语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英语阅读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大学</t>
    </r>
    <phoneticPr fontId="1" type="noConversion"/>
  </si>
  <si>
    <t>一个暴力但有用的英语听力邪修方法</t>
    <phoneticPr fontId="1" type="noConversion"/>
  </si>
  <si>
    <t>四六级你真的不应该拉长战线复习几个月</t>
    <phoneticPr fontId="1" type="noConversion"/>
  </si>
  <si>
    <r>
      <rPr>
        <sz val="12"/>
        <rFont val="微软雅黑"/>
        <family val="2"/>
        <charset val="134"/>
      </rPr>
      <t>如何无痛阅读英文原著？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英语学习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英文原著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阅读</t>
    </r>
    <phoneticPr fontId="1" type="noConversion"/>
  </si>
  <si>
    <t>作品名称</t>
    <phoneticPr fontId="1" type="noConversion"/>
  </si>
  <si>
    <t>视频序号</t>
    <phoneticPr fontId="1" type="noConversion"/>
  </si>
  <si>
    <t>V001</t>
    <phoneticPr fontId="1" type="noConversion"/>
  </si>
  <si>
    <t>V002</t>
    <phoneticPr fontId="1" type="noConversion"/>
  </si>
  <si>
    <t>V003</t>
    <phoneticPr fontId="1" type="noConversion"/>
  </si>
  <si>
    <t>V004</t>
    <phoneticPr fontId="1" type="noConversion"/>
  </si>
  <si>
    <t>V005</t>
    <phoneticPr fontId="1" type="noConversion"/>
  </si>
  <si>
    <t>V006</t>
    <phoneticPr fontId="1" type="noConversion"/>
  </si>
  <si>
    <t>V007</t>
    <phoneticPr fontId="1" type="noConversion"/>
  </si>
  <si>
    <t>V061</t>
  </si>
  <si>
    <t>V060</t>
  </si>
  <si>
    <t>V059</t>
  </si>
  <si>
    <t>V058</t>
  </si>
  <si>
    <t>V057</t>
  </si>
  <si>
    <t>V056</t>
  </si>
  <si>
    <t>V055</t>
  </si>
  <si>
    <t>V054</t>
  </si>
  <si>
    <t>V053</t>
  </si>
  <si>
    <t>V052</t>
  </si>
  <si>
    <t>V048</t>
  </si>
  <si>
    <t>V044</t>
  </si>
  <si>
    <t>V043</t>
  </si>
  <si>
    <t>V042</t>
  </si>
  <si>
    <t>V041</t>
  </si>
  <si>
    <t>V040</t>
  </si>
  <si>
    <t>V039</t>
  </si>
  <si>
    <t>V038</t>
  </si>
  <si>
    <t>V037</t>
  </si>
  <si>
    <t>V036</t>
  </si>
  <si>
    <t>V035</t>
  </si>
  <si>
    <t>V034</t>
  </si>
  <si>
    <t>V030</t>
  </si>
  <si>
    <t>V029</t>
  </si>
  <si>
    <t>V028</t>
  </si>
  <si>
    <t>V027</t>
  </si>
  <si>
    <t>V026</t>
  </si>
  <si>
    <t>V025</t>
  </si>
  <si>
    <t>V024</t>
  </si>
  <si>
    <t>V023</t>
  </si>
  <si>
    <t>V022</t>
  </si>
  <si>
    <t>V021</t>
  </si>
  <si>
    <t>V020</t>
  </si>
  <si>
    <t>V017</t>
  </si>
  <si>
    <t>V016</t>
  </si>
  <si>
    <t>V015</t>
  </si>
  <si>
    <t>V014</t>
  </si>
  <si>
    <t>V013</t>
  </si>
  <si>
    <t>V012</t>
  </si>
  <si>
    <t>V011</t>
  </si>
  <si>
    <t>V008</t>
    <phoneticPr fontId="1" type="noConversion"/>
  </si>
  <si>
    <t>V009</t>
    <phoneticPr fontId="1" type="noConversion"/>
  </si>
  <si>
    <t>V010</t>
    <phoneticPr fontId="1" type="noConversion"/>
  </si>
  <si>
    <t>V019</t>
    <phoneticPr fontId="1" type="noConversion"/>
  </si>
  <si>
    <t>V031</t>
    <phoneticPr fontId="1" type="noConversion"/>
  </si>
  <si>
    <t>V032</t>
    <phoneticPr fontId="1" type="noConversion"/>
  </si>
  <si>
    <t>V033</t>
    <phoneticPr fontId="1" type="noConversion"/>
  </si>
  <si>
    <t>V046</t>
    <phoneticPr fontId="1" type="noConversion"/>
  </si>
  <si>
    <t>V045</t>
    <phoneticPr fontId="1" type="noConversion"/>
  </si>
  <si>
    <t>V049</t>
    <phoneticPr fontId="1" type="noConversion"/>
  </si>
  <si>
    <t>V047</t>
    <phoneticPr fontId="1" type="noConversion"/>
  </si>
  <si>
    <t>V051</t>
    <phoneticPr fontId="1" type="noConversion"/>
  </si>
  <si>
    <t>V050</t>
    <phoneticPr fontId="1" type="noConversion"/>
  </si>
  <si>
    <t>V063</t>
    <phoneticPr fontId="1" type="noConversion"/>
  </si>
  <si>
    <t>V064</t>
    <phoneticPr fontId="1" type="noConversion"/>
  </si>
  <si>
    <t>V065</t>
    <phoneticPr fontId="1" type="noConversion"/>
  </si>
  <si>
    <t>V071</t>
    <phoneticPr fontId="1" type="noConversion"/>
  </si>
  <si>
    <t>V073</t>
    <phoneticPr fontId="1" type="noConversion"/>
  </si>
  <si>
    <t>V074</t>
    <phoneticPr fontId="1" type="noConversion"/>
  </si>
  <si>
    <t>V075</t>
    <phoneticPr fontId="1" type="noConversion"/>
  </si>
  <si>
    <t>V077</t>
    <phoneticPr fontId="1" type="noConversion"/>
  </si>
  <si>
    <t>V079</t>
    <phoneticPr fontId="1" type="noConversion"/>
  </si>
  <si>
    <t>V076</t>
    <phoneticPr fontId="1" type="noConversion"/>
  </si>
  <si>
    <t>V081</t>
    <phoneticPr fontId="1" type="noConversion"/>
  </si>
  <si>
    <t>V080</t>
    <phoneticPr fontId="1" type="noConversion"/>
  </si>
  <si>
    <t>V082</t>
    <phoneticPr fontId="1" type="noConversion"/>
  </si>
  <si>
    <t>V085</t>
    <phoneticPr fontId="1" type="noConversion"/>
  </si>
  <si>
    <t>V084</t>
    <phoneticPr fontId="1" type="noConversion"/>
  </si>
  <si>
    <t>V083</t>
    <phoneticPr fontId="1" type="noConversion"/>
  </si>
  <si>
    <t>V070</t>
    <phoneticPr fontId="1" type="noConversion"/>
  </si>
  <si>
    <t>V072</t>
    <phoneticPr fontId="1" type="noConversion"/>
  </si>
  <si>
    <r>
      <rPr>
        <sz val="12"/>
        <rFont val="微软雅黑"/>
        <family val="2"/>
        <charset val="134"/>
      </rPr>
      <t>语法规则好多，真的背不下来咋办</t>
    </r>
    <r>
      <rPr>
        <sz val="12"/>
        <rFont val="Verdana"/>
        <family val="2"/>
      </rPr>
      <t>...... #</t>
    </r>
    <r>
      <rPr>
        <sz val="12"/>
        <rFont val="微软雅黑"/>
        <family val="2"/>
        <charset val="134"/>
      </rPr>
      <t>英语语法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英语学习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大学英语</t>
    </r>
    <phoneticPr fontId="1" type="noConversion"/>
  </si>
  <si>
    <t>V078</t>
    <phoneticPr fontId="1" type="noConversion"/>
  </si>
  <si>
    <t>None</t>
  </si>
  <si>
    <t>None</t>
    <phoneticPr fontId="1" type="noConversion"/>
  </si>
  <si>
    <t>视频序号</t>
    <phoneticPr fontId="1" type="noConversion"/>
  </si>
  <si>
    <t>英语成绩差，根本来看还是你太胆小了 四级 628 | 六级 632 | 二刷六级阅读满分
#英语学习#四六级#英语#雅思托福</t>
  </si>
  <si>
    <t>2026-04-12 12:00:00</t>
  </si>
  <si>
    <t>英语刷题，根本不能帮你直接提分 四级628 | 六级632 | 六级二刷阅读满分
#英语学习#英语考试#四六级#雅思托福</t>
  </si>
  <si>
    <t>2026-04-09 12:00:00</t>
  </si>
  <si>
    <t>V086</t>
    <phoneticPr fontId="1" type="noConversion"/>
  </si>
  <si>
    <t>V087</t>
    <phoneticPr fontId="1" type="noConversion"/>
  </si>
  <si>
    <t>英语成绩差，根本来看还是你太胆小了</t>
  </si>
  <si>
    <t>2026年04月12日12时00分51秒</t>
  </si>
  <si>
    <t>英语刷题，根本不能帮你直接提分</t>
  </si>
  <si>
    <t>2026年04月09日12时03分09秒</t>
  </si>
  <si>
    <t>V085</t>
    <phoneticPr fontId="1" type="noConversion"/>
  </si>
  <si>
    <t>V084</t>
    <phoneticPr fontId="1" type="noConversion"/>
  </si>
  <si>
    <t>V083</t>
    <phoneticPr fontId="1" type="noConversion"/>
  </si>
  <si>
    <t>V082</t>
    <phoneticPr fontId="1" type="noConversion"/>
  </si>
  <si>
    <t>V080</t>
    <phoneticPr fontId="1" type="noConversion"/>
  </si>
  <si>
    <t>V079</t>
    <phoneticPr fontId="1" type="noConversion"/>
  </si>
  <si>
    <t>V077</t>
    <phoneticPr fontId="1" type="noConversion"/>
  </si>
  <si>
    <t>V078</t>
    <phoneticPr fontId="1" type="noConversion"/>
  </si>
  <si>
    <t>V075</t>
    <phoneticPr fontId="1" type="noConversion"/>
  </si>
  <si>
    <t>V076</t>
    <phoneticPr fontId="1" type="noConversion"/>
  </si>
  <si>
    <t>None</t>
    <phoneticPr fontId="1" type="noConversion"/>
  </si>
  <si>
    <t>V074</t>
    <phoneticPr fontId="1" type="noConversion"/>
  </si>
  <si>
    <t>V073</t>
    <phoneticPr fontId="1" type="noConversion"/>
  </si>
  <si>
    <t>V072</t>
    <phoneticPr fontId="1" type="noConversion"/>
  </si>
  <si>
    <t>V071</t>
    <phoneticPr fontId="1" type="noConversion"/>
  </si>
  <si>
    <t>V070</t>
    <phoneticPr fontId="1" type="noConversion"/>
  </si>
  <si>
    <t>V064</t>
    <phoneticPr fontId="1" type="noConversion"/>
  </si>
  <si>
    <t>V063</t>
    <phoneticPr fontId="1" type="noConversion"/>
  </si>
  <si>
    <t>V062</t>
    <phoneticPr fontId="1" type="noConversion"/>
  </si>
  <si>
    <t>V061</t>
    <phoneticPr fontId="1" type="noConversion"/>
  </si>
  <si>
    <t>V060</t>
    <phoneticPr fontId="1" type="noConversion"/>
  </si>
  <si>
    <t>V059</t>
    <phoneticPr fontId="1" type="noConversion"/>
  </si>
  <si>
    <t>V058</t>
    <phoneticPr fontId="1" type="noConversion"/>
  </si>
  <si>
    <t>V057</t>
    <phoneticPr fontId="1" type="noConversion"/>
  </si>
  <si>
    <t>V056</t>
    <phoneticPr fontId="1" type="noConversion"/>
  </si>
  <si>
    <t>V055</t>
    <phoneticPr fontId="1" type="noConversion"/>
  </si>
  <si>
    <t>V054</t>
    <phoneticPr fontId="1" type="noConversion"/>
  </si>
  <si>
    <t>V053</t>
    <phoneticPr fontId="1" type="noConversion"/>
  </si>
  <si>
    <t>V052</t>
    <phoneticPr fontId="1" type="noConversion"/>
  </si>
  <si>
    <t>主页访问量</t>
    <phoneticPr fontId="1" type="noConversion"/>
  </si>
  <si>
    <t>不需要分析</t>
    <phoneticPr fontId="1" type="noConversion"/>
  </si>
  <si>
    <r>
      <t>"</t>
    </r>
    <r>
      <rPr>
        <sz val="12"/>
        <rFont val="微软雅黑"/>
        <family val="2"/>
        <charset val="134"/>
      </rPr>
      <t>无人在意，我在干什么</t>
    </r>
    <r>
      <rPr>
        <sz val="12"/>
        <rFont val="Verdana"/>
        <family val="2"/>
      </rPr>
      <t>..." #</t>
    </r>
    <r>
      <rPr>
        <sz val="12"/>
        <rFont val="微软雅黑"/>
        <family val="2"/>
        <charset val="134"/>
      </rPr>
      <t>大学生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认知思维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他人的看法</t>
    </r>
    <phoneticPr fontId="1" type="noConversion"/>
  </si>
  <si>
    <t>V018</t>
    <phoneticPr fontId="1" type="noConversion"/>
  </si>
  <si>
    <t>2026-04-16 12:00:00</t>
  </si>
  <si>
    <t>V088</t>
  </si>
  <si>
    <t>V088</t>
    <phoneticPr fontId="1" type="noConversion"/>
  </si>
  <si>
    <t>用英语释义背单词，典型的治标不治本</t>
  </si>
  <si>
    <t>2026年04月16日12时00分54秒</t>
  </si>
  <si>
    <r>
      <rPr>
        <sz val="12"/>
        <rFont val="微软雅黑"/>
        <family val="2"/>
        <charset val="134"/>
      </rPr>
      <t>用英语释义背单词，典型的治标不治本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英语学习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背单词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二语习得</t>
    </r>
    <phoneticPr fontId="1" type="noConversion"/>
  </si>
  <si>
    <t>词汇量越低的人，越喜欢精读</t>
  </si>
  <si>
    <t>2026年04月23日09时58分52秒</t>
  </si>
  <si>
    <t>V089</t>
  </si>
  <si>
    <t>词汇量越低的人，越喜欢精读 大部分人的“精读”，不过是逃避面对词汇量问题的借口而已
#英语学习#精读#英语原著#四六级</t>
  </si>
  <si>
    <t>2026-04-23 10:01:44</t>
  </si>
  <si>
    <t>四六级600+，从这四本原著开始 #英语学习#英语原著#泛读#精读</t>
  </si>
  <si>
    <t>2026-04-28 12:10:00</t>
  </si>
  <si>
    <t>V090</t>
  </si>
  <si>
    <t>四六级600+，从这四本原著开始</t>
  </si>
  <si>
    <t>2026年04月28日10时07分01秒</t>
  </si>
  <si>
    <t>40天 四六级 如何阅读满分 一把过？</t>
  </si>
  <si>
    <t>2026年05月01日21时41分37秒</t>
  </si>
  <si>
    <t>V091</t>
  </si>
  <si>
    <t>四六级 40天 如何阅读满分一把过？ #四六级#英语学习#大学英语</t>
  </si>
  <si>
    <t>2026-05-01 21:24:00</t>
  </si>
  <si>
    <r>
      <rPr>
        <sz val="12"/>
        <rFont val="微软雅黑"/>
        <family val="2"/>
        <charset val="134"/>
      </rPr>
      <t>多多记录自己，真的可以改命！</t>
    </r>
    <r>
      <rPr>
        <sz val="12"/>
        <rFont val="Verdana"/>
        <family val="2"/>
      </rPr>
      <t xml:space="preserve"> </t>
    </r>
    <r>
      <rPr>
        <sz val="12"/>
        <rFont val="微软雅黑"/>
        <family val="2"/>
        <charset val="134"/>
      </rPr>
      <t xml:space="preserve">如果你不知道怎么开始记录自己，或者坚持到一半放弃了，这期视频会有很大帮助
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记录自己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日常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记录</t>
    </r>
    <r>
      <rPr>
        <sz val="12"/>
        <rFont val="Verdana"/>
        <family val="2"/>
      </rPr>
      <t>#</t>
    </r>
    <r>
      <rPr>
        <sz val="12"/>
        <rFont val="微软雅黑"/>
        <family val="2"/>
        <charset val="134"/>
      </rPr>
      <t>大学</t>
    </r>
    <r>
      <rPr>
        <sz val="12"/>
        <rFont val="Verdana"/>
        <family val="2"/>
      </rPr>
      <t xml:space="preserve"> #</t>
    </r>
    <r>
      <rPr>
        <sz val="12"/>
        <rFont val="微软雅黑"/>
        <family val="2"/>
        <charset val="134"/>
      </rPr>
      <t>记录生活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</si>
</sst>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Verdana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2"/>
      <name val="宋体"/>
      <family val="3"/>
      <charset val="134"/>
    </font>
    <font>
      <sz val="12"/>
      <name val="Verdana"/>
      <family val="2"/>
    </font>
    <font>
      <b/>
      <sz val="14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name val="Calibri"/>
      <family val="2"/>
    </font>
    <font>
      <sz val="12"/>
      <name val="Verdana"/>
      <family val="2"/>
      <charset val="134"/>
    </font>
    <font>
      <sz val="12"/>
      <name val="Segoe UI Emoji"/>
      <family val="2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7" fillId="0" borderId="0" xfId="1" applyFont="1" applyAlignment="1"/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1" applyFont="1" applyAlignment="1"/>
    <xf numFmtId="0" fontId="4" fillId="0" borderId="0" xfId="2">
      <alignment vertical="center"/>
    </xf>
    <xf numFmtId="0" fontId="4" fillId="3" borderId="0" xfId="0" applyFont="1" applyFill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8" fillId="0" borderId="0" xfId="2" applyFont="1">
      <alignment vertical="center"/>
    </xf>
    <xf numFmtId="0" fontId="7" fillId="0" borderId="0" xfId="0" applyFont="1" applyAlignment="1"/>
    <xf numFmtId="0" fontId="8" fillId="0" borderId="0" xfId="0" applyFont="1" applyAlignment="1">
      <alignment vertical="center" wrapText="1"/>
    </xf>
  </cellXfs>
  <cellStyles count="3">
    <cellStyle name="常规" xfId="0" builtinId="0"/>
    <cellStyle name="常规 2" xfId="1" xr:uid="{1F66BF25-EE06-4216-A627-1DB111859E13}"/>
    <cellStyle name="常规 3" xfId="2" xr:uid="{FE8F6EA2-04AB-4397-AE1D-5E4C7A959835}"/>
  </cellStyles>
  <dxfs count="19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opLeftCell="A34" zoomScaleNormal="100" workbookViewId="0">
      <selection activeCell="A18" sqref="A18"/>
    </sheetView>
  </sheetViews>
  <sheetFormatPr defaultRowHeight="15" x14ac:dyDescent="0.3"/>
  <cols>
    <col min="1" max="16" width="9.46484375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28</v>
      </c>
    </row>
    <row r="3" spans="1:16" x14ac:dyDescent="0.3">
      <c r="A3" t="s">
        <v>31</v>
      </c>
      <c r="B3" t="s">
        <v>32</v>
      </c>
      <c r="C3" t="s">
        <v>18</v>
      </c>
      <c r="D3" t="s">
        <v>19</v>
      </c>
      <c r="E3" t="s">
        <v>33</v>
      </c>
      <c r="F3" t="s">
        <v>34</v>
      </c>
      <c r="G3" t="s">
        <v>35</v>
      </c>
      <c r="H3" t="s">
        <v>23</v>
      </c>
      <c r="I3" t="s">
        <v>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41</v>
      </c>
      <c r="P3" t="s">
        <v>27</v>
      </c>
    </row>
    <row r="4" spans="1:16" x14ac:dyDescent="0.3">
      <c r="A4" t="s">
        <v>42</v>
      </c>
      <c r="B4" t="s">
        <v>43</v>
      </c>
      <c r="C4" t="s">
        <v>18</v>
      </c>
      <c r="D4" t="s">
        <v>19</v>
      </c>
      <c r="E4" t="s">
        <v>44</v>
      </c>
      <c r="F4" t="s">
        <v>45</v>
      </c>
      <c r="G4" t="s">
        <v>46</v>
      </c>
      <c r="H4" t="s">
        <v>23</v>
      </c>
      <c r="I4" t="s">
        <v>47</v>
      </c>
      <c r="J4" t="s">
        <v>48</v>
      </c>
      <c r="K4" t="s">
        <v>49</v>
      </c>
      <c r="L4" t="s">
        <v>30</v>
      </c>
      <c r="M4" t="s">
        <v>27</v>
      </c>
      <c r="N4" t="s">
        <v>40</v>
      </c>
      <c r="O4" t="s">
        <v>40</v>
      </c>
      <c r="P4" t="s">
        <v>27</v>
      </c>
    </row>
    <row r="5" spans="1:16" x14ac:dyDescent="0.3">
      <c r="A5" t="s">
        <v>50</v>
      </c>
      <c r="B5" t="s">
        <v>51</v>
      </c>
      <c r="C5" t="s">
        <v>18</v>
      </c>
      <c r="D5" t="s">
        <v>19</v>
      </c>
      <c r="E5" t="s">
        <v>52</v>
      </c>
      <c r="F5" t="s">
        <v>53</v>
      </c>
      <c r="G5" t="s">
        <v>54</v>
      </c>
      <c r="H5" t="s">
        <v>23</v>
      </c>
      <c r="I5" t="s">
        <v>55</v>
      </c>
      <c r="J5" t="s">
        <v>56</v>
      </c>
      <c r="K5" t="s">
        <v>57</v>
      </c>
      <c r="L5" t="s">
        <v>58</v>
      </c>
      <c r="M5" t="s">
        <v>29</v>
      </c>
      <c r="N5" t="s">
        <v>59</v>
      </c>
      <c r="O5" t="s">
        <v>60</v>
      </c>
      <c r="P5" t="s">
        <v>61</v>
      </c>
    </row>
    <row r="6" spans="1:16" x14ac:dyDescent="0.3">
      <c r="A6" t="s">
        <v>62</v>
      </c>
      <c r="B6" t="s">
        <v>63</v>
      </c>
      <c r="C6" t="s">
        <v>18</v>
      </c>
      <c r="D6" t="s">
        <v>19</v>
      </c>
      <c r="E6" t="s">
        <v>64</v>
      </c>
      <c r="F6" t="s">
        <v>65</v>
      </c>
      <c r="G6" t="s">
        <v>66</v>
      </c>
      <c r="H6" t="s">
        <v>23</v>
      </c>
      <c r="I6" t="s">
        <v>67</v>
      </c>
      <c r="J6" t="s">
        <v>68</v>
      </c>
      <c r="K6" t="s">
        <v>69</v>
      </c>
      <c r="L6" t="s">
        <v>70</v>
      </c>
      <c r="M6" t="s">
        <v>61</v>
      </c>
      <c r="N6" t="s">
        <v>71</v>
      </c>
      <c r="O6" t="s">
        <v>72</v>
      </c>
      <c r="P6" t="s">
        <v>28</v>
      </c>
    </row>
    <row r="7" spans="1:16" x14ac:dyDescent="0.3">
      <c r="A7" t="s">
        <v>73</v>
      </c>
      <c r="B7" t="s">
        <v>74</v>
      </c>
      <c r="C7" t="s">
        <v>18</v>
      </c>
      <c r="D7" t="s">
        <v>19</v>
      </c>
      <c r="E7" t="s">
        <v>75</v>
      </c>
      <c r="F7" t="s">
        <v>76</v>
      </c>
      <c r="G7" t="s">
        <v>77</v>
      </c>
      <c r="H7" t="s">
        <v>23</v>
      </c>
      <c r="I7" t="s">
        <v>78</v>
      </c>
      <c r="J7" t="s">
        <v>79</v>
      </c>
      <c r="K7" t="s">
        <v>80</v>
      </c>
      <c r="L7" t="s">
        <v>39</v>
      </c>
      <c r="M7" t="s">
        <v>28</v>
      </c>
      <c r="N7" t="s">
        <v>81</v>
      </c>
      <c r="O7" t="s">
        <v>82</v>
      </c>
      <c r="P7" t="s">
        <v>29</v>
      </c>
    </row>
    <row r="8" spans="1:16" x14ac:dyDescent="0.3">
      <c r="A8" t="s">
        <v>83</v>
      </c>
      <c r="B8" t="s">
        <v>84</v>
      </c>
      <c r="C8" t="s">
        <v>18</v>
      </c>
      <c r="D8" t="s">
        <v>19</v>
      </c>
      <c r="E8" t="s">
        <v>85</v>
      </c>
      <c r="F8" t="s">
        <v>86</v>
      </c>
      <c r="G8" t="s">
        <v>87</v>
      </c>
      <c r="H8" t="s">
        <v>23</v>
      </c>
      <c r="I8" t="s">
        <v>88</v>
      </c>
      <c r="J8" t="s">
        <v>89</v>
      </c>
      <c r="K8" t="s">
        <v>90</v>
      </c>
      <c r="L8" t="s">
        <v>27</v>
      </c>
      <c r="M8" t="s">
        <v>27</v>
      </c>
      <c r="N8" t="s">
        <v>91</v>
      </c>
      <c r="O8" t="s">
        <v>92</v>
      </c>
      <c r="P8" t="s">
        <v>28</v>
      </c>
    </row>
    <row r="9" spans="1:16" x14ac:dyDescent="0.3">
      <c r="A9" t="s">
        <v>93</v>
      </c>
      <c r="B9" t="s">
        <v>94</v>
      </c>
      <c r="C9" t="s">
        <v>95</v>
      </c>
      <c r="D9" t="s">
        <v>19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61</v>
      </c>
      <c r="M9" t="s">
        <v>27</v>
      </c>
      <c r="N9" t="s">
        <v>103</v>
      </c>
      <c r="O9" t="s">
        <v>104</v>
      </c>
      <c r="P9" t="s">
        <v>28</v>
      </c>
    </row>
    <row r="10" spans="1:16" x14ac:dyDescent="0.3">
      <c r="A10" t="s">
        <v>105</v>
      </c>
      <c r="B10" t="s">
        <v>106</v>
      </c>
      <c r="C10" t="s">
        <v>18</v>
      </c>
      <c r="D10" t="s">
        <v>19</v>
      </c>
      <c r="E10" t="s">
        <v>107</v>
      </c>
      <c r="F10" t="s">
        <v>108</v>
      </c>
      <c r="G10" t="s">
        <v>109</v>
      </c>
      <c r="H10" t="s">
        <v>23</v>
      </c>
      <c r="I10" t="s">
        <v>110</v>
      </c>
      <c r="J10" t="s">
        <v>111</v>
      </c>
      <c r="K10" t="s">
        <v>112</v>
      </c>
      <c r="L10" t="s">
        <v>113</v>
      </c>
      <c r="M10" t="s">
        <v>114</v>
      </c>
      <c r="N10" t="s">
        <v>115</v>
      </c>
      <c r="O10" t="s">
        <v>116</v>
      </c>
      <c r="P10" t="s">
        <v>117</v>
      </c>
    </row>
    <row r="11" spans="1:16" x14ac:dyDescent="0.3">
      <c r="A11" t="s">
        <v>118</v>
      </c>
      <c r="B11" t="s">
        <v>119</v>
      </c>
      <c r="C11" t="s">
        <v>95</v>
      </c>
      <c r="D11" t="s">
        <v>19</v>
      </c>
      <c r="E11" t="s">
        <v>120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41</v>
      </c>
      <c r="M11" t="s">
        <v>30</v>
      </c>
      <c r="N11" t="s">
        <v>127</v>
      </c>
      <c r="O11" t="s">
        <v>128</v>
      </c>
      <c r="P11" t="s">
        <v>82</v>
      </c>
    </row>
    <row r="12" spans="1:16" x14ac:dyDescent="0.3">
      <c r="A12" t="s">
        <v>129</v>
      </c>
      <c r="B12" t="s">
        <v>130</v>
      </c>
      <c r="C12" t="s">
        <v>18</v>
      </c>
      <c r="D12" t="s">
        <v>19</v>
      </c>
      <c r="E12" t="s">
        <v>131</v>
      </c>
      <c r="F12" t="s">
        <v>132</v>
      </c>
      <c r="G12" t="s">
        <v>133</v>
      </c>
      <c r="H12" t="s">
        <v>23</v>
      </c>
      <c r="I12" t="s">
        <v>134</v>
      </c>
      <c r="J12" t="s">
        <v>135</v>
      </c>
      <c r="K12" t="s">
        <v>60</v>
      </c>
      <c r="L12" t="s">
        <v>58</v>
      </c>
      <c r="M12" t="s">
        <v>61</v>
      </c>
      <c r="N12" t="s">
        <v>30</v>
      </c>
      <c r="O12" t="s">
        <v>136</v>
      </c>
      <c r="P12" t="s">
        <v>29</v>
      </c>
    </row>
    <row r="13" spans="1:16" x14ac:dyDescent="0.3">
      <c r="A13" t="s">
        <v>137</v>
      </c>
      <c r="B13" t="s">
        <v>138</v>
      </c>
      <c r="C13" t="s">
        <v>139</v>
      </c>
      <c r="D13" t="s">
        <v>140</v>
      </c>
      <c r="E13" t="s">
        <v>27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81</v>
      </c>
      <c r="L13" t="s">
        <v>27</v>
      </c>
      <c r="M13" t="s">
        <v>28</v>
      </c>
      <c r="N13" t="s">
        <v>61</v>
      </c>
      <c r="O13" t="s">
        <v>146</v>
      </c>
      <c r="P13" t="s">
        <v>27</v>
      </c>
    </row>
    <row r="14" spans="1:16" x14ac:dyDescent="0.3">
      <c r="A14" t="s">
        <v>147</v>
      </c>
      <c r="B14" t="s">
        <v>148</v>
      </c>
      <c r="C14" t="s">
        <v>18</v>
      </c>
      <c r="D14" t="s">
        <v>19</v>
      </c>
      <c r="E14" t="s">
        <v>149</v>
      </c>
      <c r="F14" t="s">
        <v>150</v>
      </c>
      <c r="G14" t="s">
        <v>151</v>
      </c>
      <c r="H14" t="s">
        <v>23</v>
      </c>
      <c r="I14" t="s">
        <v>152</v>
      </c>
      <c r="J14" t="s">
        <v>153</v>
      </c>
      <c r="K14" t="s">
        <v>154</v>
      </c>
      <c r="L14" t="s">
        <v>27</v>
      </c>
      <c r="M14" t="s">
        <v>28</v>
      </c>
      <c r="N14" t="s">
        <v>30</v>
      </c>
      <c r="O14" t="s">
        <v>155</v>
      </c>
      <c r="P14" t="s">
        <v>28</v>
      </c>
    </row>
    <row r="15" spans="1:16" x14ac:dyDescent="0.3">
      <c r="A15" t="s">
        <v>156</v>
      </c>
      <c r="B15" t="s">
        <v>157</v>
      </c>
      <c r="C15" t="s">
        <v>18</v>
      </c>
      <c r="D15" t="s">
        <v>19</v>
      </c>
      <c r="E15" t="s">
        <v>158</v>
      </c>
      <c r="F15" t="s">
        <v>159</v>
      </c>
      <c r="G15" t="s">
        <v>160</v>
      </c>
      <c r="H15" t="s">
        <v>23</v>
      </c>
      <c r="I15" t="s">
        <v>161</v>
      </c>
      <c r="J15" t="s">
        <v>162</v>
      </c>
      <c r="K15" t="s">
        <v>163</v>
      </c>
      <c r="L15" t="s">
        <v>103</v>
      </c>
      <c r="M15" t="s">
        <v>28</v>
      </c>
      <c r="N15" t="s">
        <v>164</v>
      </c>
      <c r="O15" t="s">
        <v>165</v>
      </c>
      <c r="P15" t="s">
        <v>29</v>
      </c>
    </row>
    <row r="16" spans="1:16" x14ac:dyDescent="0.3">
      <c r="A16" t="s">
        <v>166</v>
      </c>
      <c r="B16" t="s">
        <v>167</v>
      </c>
      <c r="C16" t="s">
        <v>18</v>
      </c>
      <c r="D16" t="s">
        <v>19</v>
      </c>
      <c r="E16" t="s">
        <v>168</v>
      </c>
      <c r="F16" t="s">
        <v>169</v>
      </c>
      <c r="G16" t="s">
        <v>170</v>
      </c>
      <c r="H16" t="s">
        <v>23</v>
      </c>
      <c r="I16" t="s">
        <v>171</v>
      </c>
      <c r="J16" t="s">
        <v>172</v>
      </c>
      <c r="K16" t="s">
        <v>173</v>
      </c>
      <c r="L16" t="s">
        <v>174</v>
      </c>
      <c r="M16" t="s">
        <v>91</v>
      </c>
      <c r="N16" t="s">
        <v>175</v>
      </c>
      <c r="O16" t="s">
        <v>176</v>
      </c>
      <c r="P16" t="s">
        <v>40</v>
      </c>
    </row>
    <row r="17" spans="1:16" x14ac:dyDescent="0.3">
      <c r="A17" t="s">
        <v>177</v>
      </c>
      <c r="B17" t="s">
        <v>178</v>
      </c>
      <c r="C17" t="s">
        <v>95</v>
      </c>
      <c r="D17" t="s">
        <v>19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L17" t="s">
        <v>186</v>
      </c>
      <c r="M17" t="s">
        <v>187</v>
      </c>
      <c r="N17" t="s">
        <v>72</v>
      </c>
      <c r="O17" t="s">
        <v>188</v>
      </c>
      <c r="P17" t="s">
        <v>39</v>
      </c>
    </row>
    <row r="18" spans="1:16" x14ac:dyDescent="0.3">
      <c r="A18" t="s">
        <v>189</v>
      </c>
      <c r="B18" t="s">
        <v>190</v>
      </c>
      <c r="C18" t="s">
        <v>95</v>
      </c>
      <c r="D18" t="s">
        <v>19</v>
      </c>
      <c r="E18" t="s">
        <v>27</v>
      </c>
      <c r="F18" t="s">
        <v>191</v>
      </c>
      <c r="G18" t="s">
        <v>192</v>
      </c>
      <c r="H18" t="s">
        <v>191</v>
      </c>
      <c r="I18" t="s">
        <v>193</v>
      </c>
      <c r="J18" t="s">
        <v>194</v>
      </c>
      <c r="K18" t="s">
        <v>27</v>
      </c>
      <c r="L18" t="s">
        <v>27</v>
      </c>
      <c r="M18" t="s">
        <v>27</v>
      </c>
      <c r="N18" t="s">
        <v>27</v>
      </c>
      <c r="O18" t="s">
        <v>28</v>
      </c>
      <c r="P18" t="s">
        <v>27</v>
      </c>
    </row>
    <row r="19" spans="1:16" x14ac:dyDescent="0.3">
      <c r="A19" t="s">
        <v>177</v>
      </c>
      <c r="B19" t="s">
        <v>195</v>
      </c>
      <c r="C19" t="s">
        <v>95</v>
      </c>
      <c r="D19" t="s">
        <v>19</v>
      </c>
      <c r="E19" t="s">
        <v>27</v>
      </c>
      <c r="F19" t="s">
        <v>191</v>
      </c>
      <c r="G19" t="s">
        <v>191</v>
      </c>
      <c r="H19" t="s">
        <v>191</v>
      </c>
      <c r="I19" t="s">
        <v>191</v>
      </c>
      <c r="J19" t="s">
        <v>191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</row>
    <row r="20" spans="1:16" x14ac:dyDescent="0.3">
      <c r="A20" t="s">
        <v>196</v>
      </c>
      <c r="B20" t="s">
        <v>197</v>
      </c>
      <c r="C20" t="s">
        <v>18</v>
      </c>
      <c r="D20" t="s">
        <v>19</v>
      </c>
      <c r="E20" t="s">
        <v>198</v>
      </c>
      <c r="F20" t="s">
        <v>199</v>
      </c>
      <c r="G20" t="s">
        <v>200</v>
      </c>
      <c r="H20" t="s">
        <v>23</v>
      </c>
      <c r="I20" t="s">
        <v>201</v>
      </c>
      <c r="J20" t="s">
        <v>202</v>
      </c>
      <c r="K20" t="s">
        <v>203</v>
      </c>
      <c r="L20" t="s">
        <v>204</v>
      </c>
      <c r="M20" t="s">
        <v>205</v>
      </c>
      <c r="N20" t="s">
        <v>206</v>
      </c>
      <c r="O20" t="s">
        <v>207</v>
      </c>
      <c r="P20" t="s">
        <v>26</v>
      </c>
    </row>
    <row r="21" spans="1:16" x14ac:dyDescent="0.3">
      <c r="A21" t="s">
        <v>208</v>
      </c>
      <c r="B21" t="s">
        <v>209</v>
      </c>
      <c r="C21" t="s">
        <v>95</v>
      </c>
      <c r="D21" t="s">
        <v>19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 t="s">
        <v>58</v>
      </c>
      <c r="M21" t="s">
        <v>217</v>
      </c>
      <c r="N21" t="s">
        <v>218</v>
      </c>
      <c r="O21" t="s">
        <v>219</v>
      </c>
      <c r="P21" t="s">
        <v>220</v>
      </c>
    </row>
    <row r="22" spans="1:16" x14ac:dyDescent="0.3">
      <c r="A22" t="s">
        <v>221</v>
      </c>
      <c r="B22" t="s">
        <v>222</v>
      </c>
      <c r="C22" t="s">
        <v>139</v>
      </c>
      <c r="D22" t="s">
        <v>19</v>
      </c>
      <c r="E22" t="s">
        <v>223</v>
      </c>
      <c r="F22" t="s">
        <v>224</v>
      </c>
      <c r="G22" t="s">
        <v>225</v>
      </c>
      <c r="H22" t="s">
        <v>226</v>
      </c>
      <c r="I22" t="s">
        <v>227</v>
      </c>
      <c r="J22" t="s">
        <v>228</v>
      </c>
      <c r="K22" t="s">
        <v>229</v>
      </c>
      <c r="L22" t="s">
        <v>61</v>
      </c>
      <c r="M22" t="s">
        <v>70</v>
      </c>
      <c r="N22" t="s">
        <v>219</v>
      </c>
      <c r="O22" t="s">
        <v>230</v>
      </c>
      <c r="P22" t="s">
        <v>231</v>
      </c>
    </row>
    <row r="23" spans="1:16" x14ac:dyDescent="0.3">
      <c r="A23" t="s">
        <v>232</v>
      </c>
      <c r="B23" t="s">
        <v>233</v>
      </c>
      <c r="C23" t="s">
        <v>95</v>
      </c>
      <c r="D23" t="s">
        <v>19</v>
      </c>
      <c r="E23" t="s">
        <v>234</v>
      </c>
      <c r="F23" t="s">
        <v>235</v>
      </c>
      <c r="G23" t="s">
        <v>236</v>
      </c>
      <c r="H23" t="s">
        <v>237</v>
      </c>
      <c r="I23" t="s">
        <v>238</v>
      </c>
      <c r="J23" t="s">
        <v>239</v>
      </c>
      <c r="K23" t="s">
        <v>49</v>
      </c>
      <c r="L23" t="s">
        <v>30</v>
      </c>
      <c r="M23" t="s">
        <v>39</v>
      </c>
      <c r="N23" t="s">
        <v>240</v>
      </c>
      <c r="O23" t="s">
        <v>241</v>
      </c>
      <c r="P23" t="s">
        <v>29</v>
      </c>
    </row>
    <row r="24" spans="1:16" x14ac:dyDescent="0.3">
      <c r="A24" t="s">
        <v>242</v>
      </c>
      <c r="B24" t="s">
        <v>243</v>
      </c>
      <c r="C24" t="s">
        <v>139</v>
      </c>
      <c r="D24" t="s">
        <v>19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28</v>
      </c>
      <c r="N24" t="s">
        <v>252</v>
      </c>
      <c r="O24" t="s">
        <v>253</v>
      </c>
      <c r="P24" t="s">
        <v>58</v>
      </c>
    </row>
    <row r="25" spans="1:16" x14ac:dyDescent="0.3">
      <c r="A25" t="s">
        <v>254</v>
      </c>
      <c r="B25" t="s">
        <v>255</v>
      </c>
      <c r="C25" t="s">
        <v>95</v>
      </c>
      <c r="D25" t="s">
        <v>19</v>
      </c>
      <c r="E25" t="s">
        <v>256</v>
      </c>
      <c r="F25" t="s">
        <v>257</v>
      </c>
      <c r="G25" t="s">
        <v>258</v>
      </c>
      <c r="H25" t="s">
        <v>259</v>
      </c>
      <c r="I25" t="s">
        <v>260</v>
      </c>
      <c r="J25" t="s">
        <v>261</v>
      </c>
      <c r="K25" t="s">
        <v>262</v>
      </c>
      <c r="L25" t="s">
        <v>26</v>
      </c>
      <c r="M25" t="s">
        <v>27</v>
      </c>
      <c r="N25" t="s">
        <v>92</v>
      </c>
      <c r="O25" t="s">
        <v>263</v>
      </c>
      <c r="P25" t="s">
        <v>39</v>
      </c>
    </row>
    <row r="26" spans="1:16" x14ac:dyDescent="0.3">
      <c r="A26" t="s">
        <v>264</v>
      </c>
      <c r="B26" t="s">
        <v>265</v>
      </c>
      <c r="C26" t="s">
        <v>95</v>
      </c>
      <c r="D26" t="s">
        <v>19</v>
      </c>
      <c r="E26" t="s">
        <v>266</v>
      </c>
      <c r="F26" t="s">
        <v>267</v>
      </c>
      <c r="G26" t="s">
        <v>268</v>
      </c>
      <c r="H26" t="s">
        <v>269</v>
      </c>
      <c r="I26" t="s">
        <v>270</v>
      </c>
      <c r="J26" t="s">
        <v>271</v>
      </c>
      <c r="K26" t="s">
        <v>272</v>
      </c>
      <c r="L26" t="s">
        <v>273</v>
      </c>
      <c r="M26" t="s">
        <v>61</v>
      </c>
      <c r="N26" t="s">
        <v>187</v>
      </c>
      <c r="O26" t="s">
        <v>274</v>
      </c>
      <c r="P26" t="s">
        <v>58</v>
      </c>
    </row>
    <row r="27" spans="1:16" x14ac:dyDescent="0.3">
      <c r="A27" t="s">
        <v>275</v>
      </c>
      <c r="B27" t="s">
        <v>276</v>
      </c>
      <c r="C27" t="s">
        <v>18</v>
      </c>
      <c r="D27" t="s">
        <v>19</v>
      </c>
      <c r="E27" t="s">
        <v>277</v>
      </c>
      <c r="F27" t="s">
        <v>278</v>
      </c>
      <c r="G27" t="s">
        <v>279</v>
      </c>
      <c r="H27" t="s">
        <v>23</v>
      </c>
      <c r="I27" t="s">
        <v>280</v>
      </c>
      <c r="J27" t="s">
        <v>281</v>
      </c>
      <c r="K27" t="s">
        <v>186</v>
      </c>
      <c r="L27" t="s">
        <v>28</v>
      </c>
      <c r="M27" t="s">
        <v>28</v>
      </c>
      <c r="N27" t="s">
        <v>39</v>
      </c>
      <c r="O27" t="s">
        <v>263</v>
      </c>
      <c r="P27" t="s">
        <v>29</v>
      </c>
    </row>
    <row r="28" spans="1:16" x14ac:dyDescent="0.3">
      <c r="A28" t="s">
        <v>282</v>
      </c>
      <c r="B28" t="s">
        <v>283</v>
      </c>
      <c r="C28" t="s">
        <v>18</v>
      </c>
      <c r="D28" t="s">
        <v>19</v>
      </c>
      <c r="E28" t="s">
        <v>284</v>
      </c>
      <c r="F28" t="s">
        <v>285</v>
      </c>
      <c r="G28" t="s">
        <v>286</v>
      </c>
      <c r="H28" t="s">
        <v>23</v>
      </c>
      <c r="I28" t="s">
        <v>287</v>
      </c>
      <c r="J28" t="s">
        <v>288</v>
      </c>
      <c r="K28" t="s">
        <v>289</v>
      </c>
      <c r="L28" t="s">
        <v>58</v>
      </c>
      <c r="M28" t="s">
        <v>217</v>
      </c>
      <c r="N28" t="s">
        <v>290</v>
      </c>
      <c r="O28" t="s">
        <v>49</v>
      </c>
      <c r="P28" t="s">
        <v>39</v>
      </c>
    </row>
    <row r="29" spans="1:16" x14ac:dyDescent="0.3">
      <c r="A29" t="s">
        <v>291</v>
      </c>
      <c r="B29" t="s">
        <v>292</v>
      </c>
      <c r="C29" t="s">
        <v>18</v>
      </c>
      <c r="D29" t="s">
        <v>19</v>
      </c>
      <c r="E29" t="s">
        <v>293</v>
      </c>
      <c r="F29" t="s">
        <v>294</v>
      </c>
      <c r="G29" t="s">
        <v>295</v>
      </c>
      <c r="H29" t="s">
        <v>23</v>
      </c>
      <c r="I29" t="s">
        <v>296</v>
      </c>
      <c r="J29" t="s">
        <v>297</v>
      </c>
      <c r="K29" t="s">
        <v>298</v>
      </c>
      <c r="L29" t="s">
        <v>299</v>
      </c>
      <c r="M29" t="s">
        <v>27</v>
      </c>
      <c r="N29" t="s">
        <v>154</v>
      </c>
      <c r="O29" t="s">
        <v>300</v>
      </c>
      <c r="P29" t="s">
        <v>39</v>
      </c>
    </row>
    <row r="30" spans="1:16" x14ac:dyDescent="0.3">
      <c r="A30" t="s">
        <v>301</v>
      </c>
      <c r="B30" t="s">
        <v>302</v>
      </c>
      <c r="C30" t="s">
        <v>95</v>
      </c>
      <c r="D30" t="s">
        <v>19</v>
      </c>
      <c r="E30" t="s">
        <v>303</v>
      </c>
      <c r="F30" t="s">
        <v>304</v>
      </c>
      <c r="G30" t="s">
        <v>305</v>
      </c>
      <c r="H30" t="s">
        <v>306</v>
      </c>
      <c r="I30" t="s">
        <v>307</v>
      </c>
      <c r="J30" t="s">
        <v>308</v>
      </c>
      <c r="K30" t="s">
        <v>309</v>
      </c>
      <c r="L30" t="s">
        <v>310</v>
      </c>
      <c r="M30" t="s">
        <v>311</v>
      </c>
      <c r="N30" t="s">
        <v>312</v>
      </c>
      <c r="O30" t="s">
        <v>313</v>
      </c>
      <c r="P30" t="s">
        <v>314</v>
      </c>
    </row>
    <row r="31" spans="1:16" x14ac:dyDescent="0.3">
      <c r="A31" t="s">
        <v>315</v>
      </c>
      <c r="B31" t="s">
        <v>316</v>
      </c>
      <c r="C31" t="s">
        <v>95</v>
      </c>
      <c r="D31" t="s">
        <v>19</v>
      </c>
      <c r="E31" t="s">
        <v>317</v>
      </c>
      <c r="F31" t="s">
        <v>318</v>
      </c>
      <c r="G31" t="s">
        <v>319</v>
      </c>
      <c r="H31" t="s">
        <v>320</v>
      </c>
      <c r="I31" t="s">
        <v>321</v>
      </c>
      <c r="J31" t="s">
        <v>322</v>
      </c>
      <c r="K31" t="s">
        <v>229</v>
      </c>
      <c r="L31" t="s">
        <v>323</v>
      </c>
      <c r="M31" t="s">
        <v>28</v>
      </c>
      <c r="N31" t="s">
        <v>324</v>
      </c>
      <c r="O31" t="s">
        <v>325</v>
      </c>
      <c r="P31" t="s">
        <v>103</v>
      </c>
    </row>
    <row r="32" spans="1:16" x14ac:dyDescent="0.3">
      <c r="A32" t="s">
        <v>326</v>
      </c>
      <c r="B32" t="s">
        <v>327</v>
      </c>
      <c r="C32" t="s">
        <v>18</v>
      </c>
      <c r="D32" t="s">
        <v>19</v>
      </c>
      <c r="E32" t="s">
        <v>328</v>
      </c>
      <c r="F32" t="s">
        <v>329</v>
      </c>
      <c r="G32" t="s">
        <v>330</v>
      </c>
      <c r="H32" t="s">
        <v>23</v>
      </c>
      <c r="I32" t="s">
        <v>331</v>
      </c>
      <c r="J32" t="s">
        <v>332</v>
      </c>
      <c r="K32" t="s">
        <v>333</v>
      </c>
      <c r="L32" t="s">
        <v>217</v>
      </c>
      <c r="M32" t="s">
        <v>29</v>
      </c>
      <c r="N32" t="s">
        <v>334</v>
      </c>
      <c r="O32" t="s">
        <v>102</v>
      </c>
      <c r="P32" t="s">
        <v>61</v>
      </c>
    </row>
    <row r="33" spans="1:16" x14ac:dyDescent="0.3">
      <c r="A33" t="s">
        <v>335</v>
      </c>
      <c r="B33" t="s">
        <v>336</v>
      </c>
      <c r="C33" t="s">
        <v>18</v>
      </c>
      <c r="D33" t="s">
        <v>19</v>
      </c>
      <c r="E33" t="s">
        <v>337</v>
      </c>
      <c r="F33" t="s">
        <v>338</v>
      </c>
      <c r="G33" t="s">
        <v>339</v>
      </c>
      <c r="H33" t="s">
        <v>23</v>
      </c>
      <c r="I33" t="s">
        <v>340</v>
      </c>
      <c r="J33" t="s">
        <v>341</v>
      </c>
      <c r="K33" t="s">
        <v>342</v>
      </c>
      <c r="L33" t="s">
        <v>58</v>
      </c>
      <c r="M33" t="s">
        <v>30</v>
      </c>
      <c r="N33" t="s">
        <v>60</v>
      </c>
      <c r="O33" t="s">
        <v>343</v>
      </c>
      <c r="P33" t="s">
        <v>58</v>
      </c>
    </row>
    <row r="34" spans="1:16" x14ac:dyDescent="0.3">
      <c r="A34" t="s">
        <v>344</v>
      </c>
      <c r="B34" t="s">
        <v>345</v>
      </c>
      <c r="C34" t="s">
        <v>18</v>
      </c>
      <c r="D34" t="s">
        <v>19</v>
      </c>
      <c r="E34" t="s">
        <v>346</v>
      </c>
      <c r="F34" t="s">
        <v>347</v>
      </c>
      <c r="G34" t="s">
        <v>348</v>
      </c>
      <c r="H34" t="s">
        <v>23</v>
      </c>
      <c r="I34" t="s">
        <v>349</v>
      </c>
      <c r="J34" t="s">
        <v>350</v>
      </c>
      <c r="K34" t="s">
        <v>351</v>
      </c>
      <c r="L34" t="s">
        <v>262</v>
      </c>
      <c r="M34" t="s">
        <v>146</v>
      </c>
      <c r="N34" t="s">
        <v>352</v>
      </c>
      <c r="O34" t="s">
        <v>353</v>
      </c>
      <c r="P34" t="s">
        <v>333</v>
      </c>
    </row>
    <row r="35" spans="1:16" x14ac:dyDescent="0.3">
      <c r="A35" t="s">
        <v>354</v>
      </c>
      <c r="B35" t="s">
        <v>355</v>
      </c>
      <c r="C35" t="s">
        <v>18</v>
      </c>
      <c r="D35" t="s">
        <v>19</v>
      </c>
      <c r="E35" t="s">
        <v>356</v>
      </c>
      <c r="F35" t="s">
        <v>357</v>
      </c>
      <c r="G35" t="s">
        <v>358</v>
      </c>
      <c r="H35" t="s">
        <v>23</v>
      </c>
      <c r="I35" t="s">
        <v>359</v>
      </c>
      <c r="J35" t="s">
        <v>360</v>
      </c>
      <c r="K35" t="s">
        <v>361</v>
      </c>
      <c r="L35" t="s">
        <v>362</v>
      </c>
      <c r="M35" t="s">
        <v>299</v>
      </c>
      <c r="N35" t="s">
        <v>363</v>
      </c>
      <c r="O35" t="s">
        <v>364</v>
      </c>
      <c r="P35" t="s">
        <v>154</v>
      </c>
    </row>
    <row r="36" spans="1:16" x14ac:dyDescent="0.3">
      <c r="A36" t="s">
        <v>365</v>
      </c>
      <c r="B36" t="s">
        <v>366</v>
      </c>
      <c r="C36" t="s">
        <v>18</v>
      </c>
      <c r="D36" t="s">
        <v>19</v>
      </c>
      <c r="E36" t="s">
        <v>367</v>
      </c>
      <c r="F36" t="s">
        <v>368</v>
      </c>
      <c r="G36" t="s">
        <v>369</v>
      </c>
      <c r="H36" t="s">
        <v>23</v>
      </c>
      <c r="I36" t="s">
        <v>370</v>
      </c>
      <c r="J36" t="s">
        <v>371</v>
      </c>
      <c r="K36" t="s">
        <v>372</v>
      </c>
      <c r="L36" t="s">
        <v>373</v>
      </c>
      <c r="M36" t="s">
        <v>163</v>
      </c>
      <c r="N36" t="s">
        <v>374</v>
      </c>
      <c r="O36" t="s">
        <v>375</v>
      </c>
      <c r="P36" t="s">
        <v>376</v>
      </c>
    </row>
    <row r="37" spans="1:16" x14ac:dyDescent="0.3">
      <c r="A37" t="s">
        <v>377</v>
      </c>
      <c r="B37" t="s">
        <v>378</v>
      </c>
      <c r="C37" t="s">
        <v>18</v>
      </c>
      <c r="D37" t="s">
        <v>19</v>
      </c>
      <c r="E37" t="s">
        <v>379</v>
      </c>
      <c r="F37" t="s">
        <v>380</v>
      </c>
      <c r="G37" t="s">
        <v>381</v>
      </c>
      <c r="H37" t="s">
        <v>23</v>
      </c>
      <c r="I37" t="s">
        <v>382</v>
      </c>
      <c r="J37" t="s">
        <v>383</v>
      </c>
      <c r="K37" t="s">
        <v>384</v>
      </c>
      <c r="L37" t="s">
        <v>385</v>
      </c>
      <c r="M37" t="s">
        <v>386</v>
      </c>
      <c r="N37" t="s">
        <v>387</v>
      </c>
      <c r="O37" t="s">
        <v>388</v>
      </c>
      <c r="P37" t="s">
        <v>389</v>
      </c>
    </row>
    <row r="38" spans="1:16" x14ac:dyDescent="0.3">
      <c r="A38" t="s">
        <v>390</v>
      </c>
      <c r="B38" t="s">
        <v>391</v>
      </c>
      <c r="C38" t="s">
        <v>18</v>
      </c>
      <c r="D38" t="s">
        <v>19</v>
      </c>
      <c r="E38" t="s">
        <v>392</v>
      </c>
      <c r="F38" t="s">
        <v>393</v>
      </c>
      <c r="G38" t="s">
        <v>394</v>
      </c>
      <c r="H38" t="s">
        <v>23</v>
      </c>
      <c r="I38" t="s">
        <v>395</v>
      </c>
      <c r="J38" t="s">
        <v>396</v>
      </c>
      <c r="K38" t="s">
        <v>397</v>
      </c>
      <c r="L38" t="s">
        <v>398</v>
      </c>
      <c r="M38" t="s">
        <v>399</v>
      </c>
      <c r="N38" t="s">
        <v>400</v>
      </c>
      <c r="O38" t="s">
        <v>401</v>
      </c>
      <c r="P38" t="s">
        <v>402</v>
      </c>
    </row>
    <row r="39" spans="1:16" x14ac:dyDescent="0.3">
      <c r="A39" t="s">
        <v>403</v>
      </c>
      <c r="B39" t="s">
        <v>404</v>
      </c>
      <c r="C39" t="s">
        <v>18</v>
      </c>
      <c r="D39" t="s">
        <v>19</v>
      </c>
      <c r="E39" t="s">
        <v>405</v>
      </c>
      <c r="F39" t="s">
        <v>406</v>
      </c>
      <c r="G39" t="s">
        <v>407</v>
      </c>
      <c r="H39" t="s">
        <v>23</v>
      </c>
      <c r="I39" t="s">
        <v>408</v>
      </c>
      <c r="J39" t="s">
        <v>409</v>
      </c>
      <c r="K39" t="s">
        <v>410</v>
      </c>
      <c r="L39" t="s">
        <v>219</v>
      </c>
      <c r="M39" t="s">
        <v>136</v>
      </c>
      <c r="N39" t="s">
        <v>411</v>
      </c>
      <c r="O39" t="s">
        <v>412</v>
      </c>
      <c r="P39" t="s">
        <v>413</v>
      </c>
    </row>
    <row r="40" spans="1:16" x14ac:dyDescent="0.3">
      <c r="A40" t="s">
        <v>414</v>
      </c>
      <c r="B40" t="s">
        <v>415</v>
      </c>
      <c r="C40" t="s">
        <v>18</v>
      </c>
      <c r="D40" t="s">
        <v>19</v>
      </c>
      <c r="E40" t="s">
        <v>416</v>
      </c>
      <c r="F40" t="s">
        <v>417</v>
      </c>
      <c r="G40" t="s">
        <v>418</v>
      </c>
      <c r="H40" t="s">
        <v>23</v>
      </c>
      <c r="I40" t="s">
        <v>419</v>
      </c>
      <c r="J40" t="s">
        <v>420</v>
      </c>
      <c r="K40" t="s">
        <v>57</v>
      </c>
      <c r="L40" t="s">
        <v>217</v>
      </c>
      <c r="M40" t="s">
        <v>61</v>
      </c>
      <c r="N40" t="s">
        <v>290</v>
      </c>
      <c r="O40" t="s">
        <v>60</v>
      </c>
      <c r="P40" t="s">
        <v>71</v>
      </c>
    </row>
    <row r="41" spans="1:16" x14ac:dyDescent="0.3">
      <c r="A41" t="s">
        <v>421</v>
      </c>
      <c r="B41" t="s">
        <v>422</v>
      </c>
      <c r="C41" t="s">
        <v>139</v>
      </c>
      <c r="D41" t="s">
        <v>19</v>
      </c>
      <c r="E41" t="s">
        <v>423</v>
      </c>
      <c r="F41" t="s">
        <v>424</v>
      </c>
      <c r="G41" t="s">
        <v>425</v>
      </c>
      <c r="H41" t="s">
        <v>426</v>
      </c>
      <c r="I41" t="s">
        <v>427</v>
      </c>
      <c r="J41" t="s">
        <v>428</v>
      </c>
      <c r="K41" t="s">
        <v>413</v>
      </c>
      <c r="L41" t="s">
        <v>29</v>
      </c>
      <c r="M41" t="s">
        <v>39</v>
      </c>
      <c r="N41" t="s">
        <v>41</v>
      </c>
      <c r="O41" t="s">
        <v>429</v>
      </c>
      <c r="P41" t="s">
        <v>82</v>
      </c>
    </row>
    <row r="42" spans="1:16" x14ac:dyDescent="0.3">
      <c r="A42" t="s">
        <v>430</v>
      </c>
      <c r="B42" t="s">
        <v>431</v>
      </c>
      <c r="C42" t="s">
        <v>18</v>
      </c>
      <c r="D42" t="s">
        <v>19</v>
      </c>
      <c r="E42" t="s">
        <v>432</v>
      </c>
      <c r="F42" t="s">
        <v>433</v>
      </c>
      <c r="G42" t="s">
        <v>434</v>
      </c>
      <c r="H42" t="s">
        <v>23</v>
      </c>
      <c r="I42" t="s">
        <v>435</v>
      </c>
      <c r="J42" t="s">
        <v>436</v>
      </c>
      <c r="K42" t="s">
        <v>437</v>
      </c>
      <c r="L42" t="s">
        <v>438</v>
      </c>
      <c r="M42" t="s">
        <v>439</v>
      </c>
      <c r="N42" t="s">
        <v>440</v>
      </c>
      <c r="O42" t="s">
        <v>441</v>
      </c>
      <c r="P42" t="s">
        <v>442</v>
      </c>
    </row>
    <row r="43" spans="1:16" x14ac:dyDescent="0.3">
      <c r="A43" t="s">
        <v>443</v>
      </c>
      <c r="B43" t="s">
        <v>444</v>
      </c>
      <c r="C43" t="s">
        <v>18</v>
      </c>
      <c r="D43" t="s">
        <v>19</v>
      </c>
      <c r="E43" t="s">
        <v>445</v>
      </c>
      <c r="F43" t="s">
        <v>446</v>
      </c>
      <c r="G43" t="s">
        <v>447</v>
      </c>
      <c r="H43" t="s">
        <v>23</v>
      </c>
      <c r="I43" t="s">
        <v>448</v>
      </c>
      <c r="J43" t="s">
        <v>449</v>
      </c>
      <c r="K43" t="s">
        <v>450</v>
      </c>
      <c r="L43" t="s">
        <v>451</v>
      </c>
      <c r="M43" t="s">
        <v>240</v>
      </c>
      <c r="N43" t="s">
        <v>452</v>
      </c>
      <c r="O43" t="s">
        <v>453</v>
      </c>
      <c r="P43" t="s">
        <v>454</v>
      </c>
    </row>
    <row r="44" spans="1:16" x14ac:dyDescent="0.3">
      <c r="A44" t="s">
        <v>455</v>
      </c>
      <c r="B44" t="s">
        <v>456</v>
      </c>
      <c r="C44" t="s">
        <v>18</v>
      </c>
      <c r="D44" t="s">
        <v>19</v>
      </c>
      <c r="E44" t="s">
        <v>457</v>
      </c>
      <c r="F44" t="s">
        <v>458</v>
      </c>
      <c r="G44" t="s">
        <v>459</v>
      </c>
      <c r="H44" t="s">
        <v>23</v>
      </c>
      <c r="I44" t="s">
        <v>460</v>
      </c>
      <c r="J44" t="s">
        <v>461</v>
      </c>
      <c r="K44" t="s">
        <v>462</v>
      </c>
      <c r="L44" t="s">
        <v>463</v>
      </c>
      <c r="M44" t="s">
        <v>464</v>
      </c>
      <c r="N44" t="s">
        <v>465</v>
      </c>
      <c r="O44" t="s">
        <v>466</v>
      </c>
      <c r="P44" t="s">
        <v>467</v>
      </c>
    </row>
    <row r="45" spans="1:16" x14ac:dyDescent="0.3">
      <c r="A45" t="s">
        <v>468</v>
      </c>
      <c r="B45" t="s">
        <v>469</v>
      </c>
      <c r="C45" t="s">
        <v>470</v>
      </c>
      <c r="D45" t="s">
        <v>19</v>
      </c>
      <c r="E45" t="s">
        <v>471</v>
      </c>
      <c r="F45" t="s">
        <v>472</v>
      </c>
      <c r="G45" t="s">
        <v>473</v>
      </c>
      <c r="H45" t="s">
        <v>23</v>
      </c>
      <c r="I45" t="s">
        <v>474</v>
      </c>
      <c r="J45" t="s">
        <v>475</v>
      </c>
      <c r="K45" t="s">
        <v>476</v>
      </c>
      <c r="L45" t="s">
        <v>477</v>
      </c>
      <c r="M45" t="s">
        <v>478</v>
      </c>
      <c r="N45" t="s">
        <v>479</v>
      </c>
      <c r="O45" t="s">
        <v>385</v>
      </c>
      <c r="P45" t="s">
        <v>480</v>
      </c>
    </row>
    <row r="46" spans="1:16" x14ac:dyDescent="0.3">
      <c r="A46" t="s">
        <v>481</v>
      </c>
      <c r="B46" t="s">
        <v>482</v>
      </c>
      <c r="C46" t="s">
        <v>18</v>
      </c>
      <c r="D46" t="s">
        <v>19</v>
      </c>
      <c r="E46" t="s">
        <v>483</v>
      </c>
      <c r="F46" t="s">
        <v>484</v>
      </c>
      <c r="G46" t="s">
        <v>485</v>
      </c>
      <c r="H46" t="s">
        <v>23</v>
      </c>
      <c r="I46" t="s">
        <v>486</v>
      </c>
      <c r="J46" t="s">
        <v>487</v>
      </c>
      <c r="K46" t="s">
        <v>324</v>
      </c>
      <c r="L46" t="s">
        <v>299</v>
      </c>
      <c r="M46" t="s">
        <v>29</v>
      </c>
      <c r="N46" t="s">
        <v>26</v>
      </c>
      <c r="O46" t="s">
        <v>488</v>
      </c>
      <c r="P46" t="s">
        <v>70</v>
      </c>
    </row>
    <row r="47" spans="1:16" x14ac:dyDescent="0.3">
      <c r="A47" t="s">
        <v>489</v>
      </c>
      <c r="B47" t="s">
        <v>490</v>
      </c>
      <c r="C47" t="s">
        <v>18</v>
      </c>
      <c r="D47" t="s">
        <v>19</v>
      </c>
      <c r="E47" t="s">
        <v>491</v>
      </c>
      <c r="F47" t="s">
        <v>492</v>
      </c>
      <c r="G47" t="s">
        <v>493</v>
      </c>
      <c r="H47" t="s">
        <v>23</v>
      </c>
      <c r="I47" t="s">
        <v>494</v>
      </c>
      <c r="J47" t="s">
        <v>495</v>
      </c>
      <c r="K47" t="s">
        <v>496</v>
      </c>
      <c r="L47" t="s">
        <v>497</v>
      </c>
      <c r="M47" t="s">
        <v>30</v>
      </c>
      <c r="N47" t="s">
        <v>498</v>
      </c>
      <c r="O47" t="s">
        <v>499</v>
      </c>
      <c r="P47" t="s">
        <v>500</v>
      </c>
    </row>
    <row r="48" spans="1:16" x14ac:dyDescent="0.3">
      <c r="A48" t="s">
        <v>501</v>
      </c>
      <c r="B48" t="s">
        <v>502</v>
      </c>
      <c r="C48" t="s">
        <v>18</v>
      </c>
      <c r="D48" t="s">
        <v>19</v>
      </c>
      <c r="E48" t="s">
        <v>503</v>
      </c>
      <c r="F48" t="s">
        <v>504</v>
      </c>
      <c r="G48" t="s">
        <v>505</v>
      </c>
      <c r="H48" t="s">
        <v>23</v>
      </c>
      <c r="I48" t="s">
        <v>506</v>
      </c>
      <c r="J48" t="s">
        <v>507</v>
      </c>
      <c r="K48" t="s">
        <v>508</v>
      </c>
      <c r="L48" t="s">
        <v>509</v>
      </c>
      <c r="M48" t="s">
        <v>510</v>
      </c>
      <c r="N48" t="s">
        <v>511</v>
      </c>
      <c r="O48" t="s">
        <v>512</v>
      </c>
      <c r="P48" t="s">
        <v>513</v>
      </c>
    </row>
    <row r="49" spans="1:16" x14ac:dyDescent="0.3">
      <c r="A49" t="s">
        <v>514</v>
      </c>
      <c r="B49" t="s">
        <v>515</v>
      </c>
      <c r="C49" t="s">
        <v>18</v>
      </c>
      <c r="D49" t="s">
        <v>19</v>
      </c>
      <c r="E49" t="s">
        <v>516</v>
      </c>
      <c r="F49" t="s">
        <v>517</v>
      </c>
      <c r="G49" t="s">
        <v>518</v>
      </c>
      <c r="H49" t="s">
        <v>23</v>
      </c>
      <c r="I49" t="s">
        <v>519</v>
      </c>
      <c r="J49" t="s">
        <v>520</v>
      </c>
      <c r="K49" t="s">
        <v>298</v>
      </c>
      <c r="L49" t="s">
        <v>27</v>
      </c>
      <c r="M49" t="s">
        <v>39</v>
      </c>
      <c r="N49" t="s">
        <v>103</v>
      </c>
      <c r="O49" t="s">
        <v>253</v>
      </c>
      <c r="P49" t="s">
        <v>61</v>
      </c>
    </row>
    <row r="50" spans="1:16" x14ac:dyDescent="0.3">
      <c r="A50" t="s">
        <v>521</v>
      </c>
      <c r="B50" t="s">
        <v>522</v>
      </c>
      <c r="C50" t="s">
        <v>95</v>
      </c>
      <c r="D50" t="s">
        <v>19</v>
      </c>
      <c r="E50" t="s">
        <v>523</v>
      </c>
      <c r="F50" t="s">
        <v>524</v>
      </c>
      <c r="G50" t="s">
        <v>525</v>
      </c>
      <c r="H50" t="s">
        <v>526</v>
      </c>
      <c r="I50" t="s">
        <v>527</v>
      </c>
      <c r="J50" t="s">
        <v>528</v>
      </c>
      <c r="K50" t="s">
        <v>80</v>
      </c>
      <c r="L50" t="s">
        <v>28</v>
      </c>
      <c r="M50" t="s">
        <v>30</v>
      </c>
      <c r="N50" t="s">
        <v>71</v>
      </c>
      <c r="O50" t="s">
        <v>529</v>
      </c>
      <c r="P50" t="s">
        <v>91</v>
      </c>
    </row>
    <row r="51" spans="1:16" x14ac:dyDescent="0.3">
      <c r="A51" t="s">
        <v>530</v>
      </c>
      <c r="B51" t="s">
        <v>531</v>
      </c>
      <c r="C51" t="s">
        <v>18</v>
      </c>
      <c r="D51" t="s">
        <v>19</v>
      </c>
      <c r="E51" t="s">
        <v>532</v>
      </c>
      <c r="F51" t="s">
        <v>533</v>
      </c>
      <c r="G51" t="s">
        <v>534</v>
      </c>
      <c r="H51" t="s">
        <v>23</v>
      </c>
      <c r="I51" t="s">
        <v>535</v>
      </c>
      <c r="J51" t="s">
        <v>536</v>
      </c>
      <c r="K51" t="s">
        <v>537</v>
      </c>
      <c r="L51" t="s">
        <v>273</v>
      </c>
      <c r="M51" t="s">
        <v>28</v>
      </c>
      <c r="N51" t="s">
        <v>163</v>
      </c>
      <c r="O51" t="s">
        <v>38</v>
      </c>
      <c r="P51" t="s">
        <v>30</v>
      </c>
    </row>
    <row r="52" spans="1:16" x14ac:dyDescent="0.3">
      <c r="A52" t="s">
        <v>538</v>
      </c>
      <c r="B52" t="s">
        <v>539</v>
      </c>
      <c r="C52" t="s">
        <v>18</v>
      </c>
      <c r="D52" t="s">
        <v>19</v>
      </c>
      <c r="E52" t="s">
        <v>540</v>
      </c>
      <c r="F52" t="s">
        <v>541</v>
      </c>
      <c r="G52" t="s">
        <v>542</v>
      </c>
      <c r="H52" t="s">
        <v>23</v>
      </c>
      <c r="I52" t="s">
        <v>543</v>
      </c>
      <c r="J52" t="s">
        <v>544</v>
      </c>
      <c r="K52" t="s">
        <v>545</v>
      </c>
      <c r="L52" t="s">
        <v>104</v>
      </c>
      <c r="M52" t="s">
        <v>323</v>
      </c>
      <c r="N52" t="s">
        <v>546</v>
      </c>
      <c r="O52" t="s">
        <v>547</v>
      </c>
      <c r="P52" t="s">
        <v>300</v>
      </c>
    </row>
    <row r="53" spans="1:16" x14ac:dyDescent="0.3">
      <c r="A53" t="s">
        <v>548</v>
      </c>
      <c r="B53" t="s">
        <v>549</v>
      </c>
      <c r="C53" t="s">
        <v>18</v>
      </c>
      <c r="D53" t="s">
        <v>19</v>
      </c>
      <c r="E53" t="s">
        <v>550</v>
      </c>
      <c r="F53" t="s">
        <v>551</v>
      </c>
      <c r="G53" t="s">
        <v>552</v>
      </c>
      <c r="H53" t="s">
        <v>23</v>
      </c>
      <c r="I53" t="s">
        <v>553</v>
      </c>
      <c r="J53" t="s">
        <v>554</v>
      </c>
      <c r="K53" t="s">
        <v>537</v>
      </c>
      <c r="L53" t="s">
        <v>217</v>
      </c>
      <c r="M53" t="s">
        <v>28</v>
      </c>
      <c r="N53" t="s">
        <v>155</v>
      </c>
      <c r="O53" t="s">
        <v>136</v>
      </c>
      <c r="P53" t="s">
        <v>103</v>
      </c>
    </row>
    <row r="54" spans="1:16" x14ac:dyDescent="0.3">
      <c r="A54" t="s">
        <v>555</v>
      </c>
      <c r="B54" t="s">
        <v>556</v>
      </c>
      <c r="C54" t="s">
        <v>18</v>
      </c>
      <c r="D54" t="s">
        <v>19</v>
      </c>
      <c r="E54" t="s">
        <v>557</v>
      </c>
      <c r="F54" t="s">
        <v>558</v>
      </c>
      <c r="G54" t="s">
        <v>559</v>
      </c>
      <c r="H54" t="s">
        <v>23</v>
      </c>
      <c r="I54" t="s">
        <v>560</v>
      </c>
      <c r="J54" t="s">
        <v>561</v>
      </c>
      <c r="K54" t="s">
        <v>562</v>
      </c>
      <c r="L54" t="s">
        <v>91</v>
      </c>
      <c r="M54" t="s">
        <v>91</v>
      </c>
      <c r="N54" t="s">
        <v>529</v>
      </c>
      <c r="O54" t="s">
        <v>563</v>
      </c>
      <c r="P54" t="s">
        <v>40</v>
      </c>
    </row>
    <row r="55" spans="1:16" x14ac:dyDescent="0.3">
      <c r="A55" t="s">
        <v>564</v>
      </c>
      <c r="B55" t="s">
        <v>565</v>
      </c>
      <c r="C55" t="s">
        <v>18</v>
      </c>
      <c r="D55" t="s">
        <v>19</v>
      </c>
      <c r="E55" t="s">
        <v>566</v>
      </c>
      <c r="F55" t="s">
        <v>567</v>
      </c>
      <c r="G55" t="s">
        <v>568</v>
      </c>
      <c r="H55" t="s">
        <v>23</v>
      </c>
      <c r="I55" t="s">
        <v>569</v>
      </c>
      <c r="J55" t="s">
        <v>570</v>
      </c>
      <c r="K55" t="s">
        <v>571</v>
      </c>
      <c r="L55" t="s">
        <v>572</v>
      </c>
      <c r="M55" t="s">
        <v>186</v>
      </c>
      <c r="N55" t="s">
        <v>573</v>
      </c>
      <c r="O55" t="s">
        <v>574</v>
      </c>
      <c r="P55" t="s">
        <v>575</v>
      </c>
    </row>
    <row r="56" spans="1:16" x14ac:dyDescent="0.3">
      <c r="A56" t="s">
        <v>576</v>
      </c>
      <c r="B56" t="s">
        <v>577</v>
      </c>
      <c r="C56" t="s">
        <v>18</v>
      </c>
      <c r="D56" t="s">
        <v>19</v>
      </c>
      <c r="E56" t="s">
        <v>578</v>
      </c>
      <c r="F56" t="s">
        <v>579</v>
      </c>
      <c r="G56" t="s">
        <v>580</v>
      </c>
      <c r="H56" t="s">
        <v>23</v>
      </c>
      <c r="I56" t="s">
        <v>581</v>
      </c>
      <c r="J56" t="s">
        <v>582</v>
      </c>
      <c r="K56" t="s">
        <v>39</v>
      </c>
      <c r="L56" t="s">
        <v>27</v>
      </c>
      <c r="M56" t="s">
        <v>27</v>
      </c>
      <c r="N56" t="s">
        <v>28</v>
      </c>
      <c r="O56" t="s">
        <v>218</v>
      </c>
      <c r="P56" t="s">
        <v>27</v>
      </c>
    </row>
    <row r="57" spans="1:16" x14ac:dyDescent="0.3">
      <c r="A57" t="s">
        <v>583</v>
      </c>
      <c r="B57" t="s">
        <v>584</v>
      </c>
      <c r="C57" t="s">
        <v>18</v>
      </c>
      <c r="D57" t="s">
        <v>140</v>
      </c>
      <c r="E57" t="s">
        <v>27</v>
      </c>
      <c r="F57" t="s">
        <v>191</v>
      </c>
      <c r="G57" t="s">
        <v>585</v>
      </c>
      <c r="H57" t="s">
        <v>23</v>
      </c>
      <c r="I57" t="s">
        <v>585</v>
      </c>
      <c r="J57" t="s">
        <v>586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</row>
    <row r="58" spans="1:16" x14ac:dyDescent="0.3">
      <c r="A58" t="s">
        <v>587</v>
      </c>
      <c r="B58" t="s">
        <v>588</v>
      </c>
      <c r="C58" t="s">
        <v>18</v>
      </c>
      <c r="D58" t="s">
        <v>19</v>
      </c>
      <c r="E58" t="s">
        <v>589</v>
      </c>
      <c r="F58" t="s">
        <v>590</v>
      </c>
      <c r="G58" t="s">
        <v>591</v>
      </c>
      <c r="H58" t="s">
        <v>23</v>
      </c>
      <c r="I58" t="s">
        <v>592</v>
      </c>
      <c r="J58" t="s">
        <v>593</v>
      </c>
      <c r="K58" t="s">
        <v>438</v>
      </c>
      <c r="L58" t="s">
        <v>30</v>
      </c>
      <c r="M58" t="s">
        <v>28</v>
      </c>
      <c r="N58" t="s">
        <v>60</v>
      </c>
      <c r="O58" t="s">
        <v>594</v>
      </c>
      <c r="P58" t="s">
        <v>103</v>
      </c>
    </row>
    <row r="59" spans="1:16" x14ac:dyDescent="0.3">
      <c r="A59" t="s">
        <v>595</v>
      </c>
      <c r="B59" t="s">
        <v>596</v>
      </c>
      <c r="C59" t="s">
        <v>95</v>
      </c>
      <c r="D59" t="s">
        <v>19</v>
      </c>
      <c r="E59" t="s">
        <v>597</v>
      </c>
      <c r="F59" t="s">
        <v>598</v>
      </c>
      <c r="G59" t="s">
        <v>599</v>
      </c>
      <c r="H59" t="s">
        <v>600</v>
      </c>
      <c r="I59" t="s">
        <v>601</v>
      </c>
      <c r="J59" t="s">
        <v>602</v>
      </c>
      <c r="K59" t="s">
        <v>603</v>
      </c>
      <c r="L59" t="s">
        <v>103</v>
      </c>
      <c r="M59" t="s">
        <v>91</v>
      </c>
      <c r="N59" t="s">
        <v>604</v>
      </c>
      <c r="O59" t="s">
        <v>605</v>
      </c>
      <c r="P59" t="s">
        <v>606</v>
      </c>
    </row>
    <row r="60" spans="1:16" x14ac:dyDescent="0.3">
      <c r="A60" t="s">
        <v>607</v>
      </c>
      <c r="B60" t="s">
        <v>608</v>
      </c>
      <c r="C60" t="s">
        <v>18</v>
      </c>
      <c r="D60" t="s">
        <v>19</v>
      </c>
      <c r="E60" t="s">
        <v>609</v>
      </c>
      <c r="F60" t="s">
        <v>610</v>
      </c>
      <c r="G60" t="s">
        <v>611</v>
      </c>
      <c r="H60" t="s">
        <v>23</v>
      </c>
      <c r="I60" t="s">
        <v>612</v>
      </c>
      <c r="J60" t="s">
        <v>613</v>
      </c>
      <c r="K60" t="s">
        <v>614</v>
      </c>
      <c r="L60" t="s">
        <v>615</v>
      </c>
      <c r="M60" t="s">
        <v>616</v>
      </c>
      <c r="N60" t="s">
        <v>617</v>
      </c>
      <c r="O60" t="s">
        <v>618</v>
      </c>
      <c r="P60" t="s">
        <v>619</v>
      </c>
    </row>
    <row r="61" spans="1:16" x14ac:dyDescent="0.3">
      <c r="A61" t="s">
        <v>620</v>
      </c>
      <c r="B61" t="s">
        <v>621</v>
      </c>
      <c r="C61" t="s">
        <v>139</v>
      </c>
      <c r="D61" t="s">
        <v>19</v>
      </c>
      <c r="E61" t="s">
        <v>622</v>
      </c>
      <c r="F61" t="s">
        <v>623</v>
      </c>
      <c r="G61" t="s">
        <v>624</v>
      </c>
      <c r="H61" t="s">
        <v>625</v>
      </c>
      <c r="I61" t="s">
        <v>626</v>
      </c>
      <c r="J61" t="s">
        <v>627</v>
      </c>
      <c r="K61" t="s">
        <v>628</v>
      </c>
      <c r="L61" t="s">
        <v>58</v>
      </c>
      <c r="M61" t="s">
        <v>29</v>
      </c>
      <c r="N61" t="s">
        <v>629</v>
      </c>
      <c r="O61" t="s">
        <v>630</v>
      </c>
      <c r="P61" t="s">
        <v>81</v>
      </c>
    </row>
    <row r="62" spans="1:16" x14ac:dyDescent="0.3">
      <c r="A62" t="s">
        <v>631</v>
      </c>
      <c r="B62" t="s">
        <v>632</v>
      </c>
      <c r="C62" t="s">
        <v>18</v>
      </c>
      <c r="D62" t="s">
        <v>19</v>
      </c>
      <c r="E62" t="s">
        <v>633</v>
      </c>
      <c r="F62" t="s">
        <v>634</v>
      </c>
      <c r="G62" t="s">
        <v>635</v>
      </c>
      <c r="H62" t="s">
        <v>23</v>
      </c>
      <c r="I62" t="s">
        <v>636</v>
      </c>
      <c r="J62" t="s">
        <v>637</v>
      </c>
      <c r="K62" t="s">
        <v>638</v>
      </c>
      <c r="L62" t="s">
        <v>639</v>
      </c>
      <c r="M62" t="s">
        <v>165</v>
      </c>
      <c r="N62" t="s">
        <v>640</v>
      </c>
      <c r="O62" t="s">
        <v>641</v>
      </c>
      <c r="P62" t="s">
        <v>642</v>
      </c>
    </row>
    <row r="63" spans="1:16" x14ac:dyDescent="0.3">
      <c r="A63" t="s">
        <v>643</v>
      </c>
      <c r="B63" t="s">
        <v>644</v>
      </c>
      <c r="C63" t="s">
        <v>95</v>
      </c>
      <c r="D63" t="s">
        <v>19</v>
      </c>
      <c r="E63" t="s">
        <v>645</v>
      </c>
      <c r="F63" t="s">
        <v>646</v>
      </c>
      <c r="G63" t="s">
        <v>647</v>
      </c>
      <c r="H63" t="s">
        <v>648</v>
      </c>
      <c r="I63" t="s">
        <v>649</v>
      </c>
      <c r="J63" t="s">
        <v>650</v>
      </c>
      <c r="K63" t="s">
        <v>651</v>
      </c>
      <c r="L63" t="s">
        <v>605</v>
      </c>
      <c r="M63" t="s">
        <v>497</v>
      </c>
      <c r="N63" t="s">
        <v>652</v>
      </c>
      <c r="O63" t="s">
        <v>653</v>
      </c>
      <c r="P63" t="s">
        <v>464</v>
      </c>
    </row>
    <row r="64" spans="1:16" x14ac:dyDescent="0.3">
      <c r="A64" t="s">
        <v>654</v>
      </c>
      <c r="B64" t="s">
        <v>655</v>
      </c>
      <c r="C64" t="s">
        <v>18</v>
      </c>
      <c r="D64" t="s">
        <v>19</v>
      </c>
      <c r="E64" t="s">
        <v>656</v>
      </c>
      <c r="F64" t="s">
        <v>657</v>
      </c>
      <c r="G64" t="s">
        <v>658</v>
      </c>
      <c r="H64" t="s">
        <v>23</v>
      </c>
      <c r="I64" t="s">
        <v>659</v>
      </c>
      <c r="J64" t="s">
        <v>660</v>
      </c>
      <c r="K64" t="s">
        <v>661</v>
      </c>
      <c r="L64" t="s">
        <v>662</v>
      </c>
      <c r="M64" t="s">
        <v>29</v>
      </c>
      <c r="N64" t="s">
        <v>251</v>
      </c>
      <c r="O64" t="s">
        <v>663</v>
      </c>
      <c r="P64" t="s">
        <v>146</v>
      </c>
    </row>
    <row r="65" spans="1:16" x14ac:dyDescent="0.3">
      <c r="A65" t="s">
        <v>664</v>
      </c>
      <c r="B65" t="s">
        <v>665</v>
      </c>
      <c r="C65" t="s">
        <v>18</v>
      </c>
      <c r="D65" t="s">
        <v>19</v>
      </c>
      <c r="E65" t="s">
        <v>666</v>
      </c>
      <c r="F65" t="s">
        <v>667</v>
      </c>
      <c r="G65" t="s">
        <v>668</v>
      </c>
      <c r="H65" t="s">
        <v>23</v>
      </c>
      <c r="I65" t="s">
        <v>669</v>
      </c>
      <c r="J65" t="s">
        <v>670</v>
      </c>
      <c r="K65" t="s">
        <v>60</v>
      </c>
      <c r="L65" t="s">
        <v>28</v>
      </c>
      <c r="M65" t="s">
        <v>28</v>
      </c>
      <c r="N65" t="s">
        <v>39</v>
      </c>
      <c r="O65" t="s">
        <v>72</v>
      </c>
      <c r="P65" t="s">
        <v>28</v>
      </c>
    </row>
    <row r="66" spans="1:16" x14ac:dyDescent="0.3">
      <c r="A66" t="s">
        <v>671</v>
      </c>
      <c r="B66" t="s">
        <v>672</v>
      </c>
      <c r="C66" t="s">
        <v>18</v>
      </c>
      <c r="D66" t="s">
        <v>19</v>
      </c>
      <c r="E66" t="s">
        <v>673</v>
      </c>
      <c r="F66" t="s">
        <v>674</v>
      </c>
      <c r="G66" t="s">
        <v>675</v>
      </c>
      <c r="H66" t="s">
        <v>23</v>
      </c>
      <c r="I66" t="s">
        <v>676</v>
      </c>
      <c r="J66" t="s">
        <v>677</v>
      </c>
      <c r="K66" t="s">
        <v>678</v>
      </c>
      <c r="L66" t="s">
        <v>240</v>
      </c>
      <c r="M66" t="s">
        <v>61</v>
      </c>
      <c r="N66" t="s">
        <v>253</v>
      </c>
      <c r="O66" t="s">
        <v>679</v>
      </c>
      <c r="P66" t="s">
        <v>240</v>
      </c>
    </row>
    <row r="67" spans="1:16" x14ac:dyDescent="0.3">
      <c r="A67" t="s">
        <v>680</v>
      </c>
      <c r="B67" t="s">
        <v>681</v>
      </c>
      <c r="C67" t="s">
        <v>18</v>
      </c>
      <c r="D67" t="s">
        <v>19</v>
      </c>
      <c r="E67" t="s">
        <v>682</v>
      </c>
      <c r="F67" t="s">
        <v>683</v>
      </c>
      <c r="G67" t="s">
        <v>684</v>
      </c>
      <c r="H67" t="s">
        <v>23</v>
      </c>
      <c r="I67" t="s">
        <v>685</v>
      </c>
      <c r="J67" t="s">
        <v>686</v>
      </c>
      <c r="K67" t="s">
        <v>687</v>
      </c>
      <c r="L67" t="s">
        <v>688</v>
      </c>
      <c r="M67" t="s">
        <v>689</v>
      </c>
      <c r="N67" t="s">
        <v>690</v>
      </c>
      <c r="O67" t="s">
        <v>691</v>
      </c>
      <c r="P67" t="s">
        <v>692</v>
      </c>
    </row>
    <row r="68" spans="1:16" x14ac:dyDescent="0.3">
      <c r="A68" t="s">
        <v>693</v>
      </c>
      <c r="B68" t="s">
        <v>694</v>
      </c>
      <c r="C68" t="s">
        <v>95</v>
      </c>
      <c r="D68" t="s">
        <v>19</v>
      </c>
      <c r="E68" t="s">
        <v>695</v>
      </c>
      <c r="F68" t="s">
        <v>696</v>
      </c>
      <c r="G68" t="s">
        <v>697</v>
      </c>
      <c r="H68" t="s">
        <v>698</v>
      </c>
      <c r="I68" t="s">
        <v>699</v>
      </c>
      <c r="J68" t="s">
        <v>700</v>
      </c>
      <c r="K68" t="s">
        <v>701</v>
      </c>
      <c r="L68" t="s">
        <v>702</v>
      </c>
      <c r="M68" t="s">
        <v>703</v>
      </c>
      <c r="N68" t="s">
        <v>704</v>
      </c>
      <c r="O68" t="s">
        <v>705</v>
      </c>
      <c r="P68" t="s">
        <v>706</v>
      </c>
    </row>
    <row r="69" spans="1:16" x14ac:dyDescent="0.3">
      <c r="A69" t="s">
        <v>707</v>
      </c>
      <c r="B69" t="s">
        <v>708</v>
      </c>
      <c r="C69" t="s">
        <v>95</v>
      </c>
      <c r="D69" t="s">
        <v>19</v>
      </c>
      <c r="E69" t="s">
        <v>709</v>
      </c>
      <c r="F69" t="s">
        <v>710</v>
      </c>
      <c r="G69" t="s">
        <v>711</v>
      </c>
      <c r="H69" t="s">
        <v>712</v>
      </c>
      <c r="I69" t="s">
        <v>713</v>
      </c>
      <c r="J69" t="s">
        <v>714</v>
      </c>
      <c r="K69" t="s">
        <v>715</v>
      </c>
      <c r="L69" t="s">
        <v>716</v>
      </c>
      <c r="M69" t="s">
        <v>717</v>
      </c>
      <c r="N69" t="s">
        <v>718</v>
      </c>
      <c r="O69" t="s">
        <v>719</v>
      </c>
      <c r="P69" t="s">
        <v>720</v>
      </c>
    </row>
    <row r="70" spans="1:16" x14ac:dyDescent="0.3">
      <c r="A70" t="s">
        <v>721</v>
      </c>
      <c r="B70" t="s">
        <v>722</v>
      </c>
      <c r="C70" t="s">
        <v>18</v>
      </c>
      <c r="D70" t="s">
        <v>140</v>
      </c>
      <c r="E70" t="s">
        <v>27</v>
      </c>
      <c r="F70" t="s">
        <v>723</v>
      </c>
      <c r="G70" t="s">
        <v>724</v>
      </c>
      <c r="H70" t="s">
        <v>23</v>
      </c>
      <c r="I70" t="s">
        <v>725</v>
      </c>
      <c r="J70" t="s">
        <v>726</v>
      </c>
      <c r="K70" t="s">
        <v>703</v>
      </c>
      <c r="L70" t="s">
        <v>217</v>
      </c>
      <c r="M70" t="s">
        <v>61</v>
      </c>
      <c r="N70" t="s">
        <v>273</v>
      </c>
      <c r="O70" t="s">
        <v>497</v>
      </c>
      <c r="P70" t="s">
        <v>30</v>
      </c>
    </row>
    <row r="71" spans="1:16" x14ac:dyDescent="0.3">
      <c r="A71" t="s">
        <v>727</v>
      </c>
      <c r="B71" t="s">
        <v>728</v>
      </c>
      <c r="C71" t="s">
        <v>139</v>
      </c>
      <c r="D71" t="s">
        <v>19</v>
      </c>
      <c r="E71" t="s">
        <v>729</v>
      </c>
      <c r="F71" t="s">
        <v>730</v>
      </c>
      <c r="G71" t="s">
        <v>731</v>
      </c>
      <c r="H71" t="s">
        <v>732</v>
      </c>
      <c r="I71" t="s">
        <v>733</v>
      </c>
      <c r="J71" t="s">
        <v>734</v>
      </c>
      <c r="K71" t="s">
        <v>735</v>
      </c>
      <c r="L71" t="s">
        <v>736</v>
      </c>
      <c r="M71" t="s">
        <v>737</v>
      </c>
      <c r="N71" t="s">
        <v>738</v>
      </c>
      <c r="O71" t="s">
        <v>739</v>
      </c>
      <c r="P71" t="s">
        <v>740</v>
      </c>
    </row>
    <row r="72" spans="1:16" x14ac:dyDescent="0.3">
      <c r="A72" t="s">
        <v>741</v>
      </c>
      <c r="B72" t="s">
        <v>742</v>
      </c>
      <c r="C72" t="s">
        <v>95</v>
      </c>
      <c r="D72" t="s">
        <v>19</v>
      </c>
      <c r="E72" t="s">
        <v>743</v>
      </c>
      <c r="F72" t="s">
        <v>744</v>
      </c>
      <c r="G72" t="s">
        <v>745</v>
      </c>
      <c r="H72" t="s">
        <v>746</v>
      </c>
      <c r="I72" t="s">
        <v>747</v>
      </c>
      <c r="J72" t="s">
        <v>748</v>
      </c>
      <c r="K72" t="s">
        <v>26</v>
      </c>
      <c r="L72" t="s">
        <v>29</v>
      </c>
      <c r="M72" t="s">
        <v>61</v>
      </c>
      <c r="N72" t="s">
        <v>39</v>
      </c>
      <c r="O72" t="s">
        <v>273</v>
      </c>
      <c r="P72" t="s">
        <v>61</v>
      </c>
    </row>
    <row r="73" spans="1:16" x14ac:dyDescent="0.3">
      <c r="A73" t="s">
        <v>749</v>
      </c>
      <c r="B73" t="s">
        <v>750</v>
      </c>
      <c r="C73" t="s">
        <v>18</v>
      </c>
      <c r="D73" t="s">
        <v>19</v>
      </c>
      <c r="E73" t="s">
        <v>751</v>
      </c>
      <c r="F73" t="s">
        <v>752</v>
      </c>
      <c r="G73" t="s">
        <v>753</v>
      </c>
      <c r="H73" t="s">
        <v>23</v>
      </c>
      <c r="I73" t="s">
        <v>754</v>
      </c>
      <c r="J73" t="s">
        <v>755</v>
      </c>
      <c r="K73" t="s">
        <v>165</v>
      </c>
      <c r="L73" t="s">
        <v>217</v>
      </c>
      <c r="M73" t="s">
        <v>39</v>
      </c>
      <c r="N73" t="s">
        <v>163</v>
      </c>
      <c r="O73" t="s">
        <v>186</v>
      </c>
      <c r="P73" t="s">
        <v>217</v>
      </c>
    </row>
    <row r="74" spans="1:16" x14ac:dyDescent="0.3">
      <c r="A74" t="s">
        <v>756</v>
      </c>
      <c r="B74" t="s">
        <v>757</v>
      </c>
      <c r="C74" t="s">
        <v>18</v>
      </c>
      <c r="D74" t="s">
        <v>140</v>
      </c>
      <c r="E74" t="s">
        <v>27</v>
      </c>
      <c r="F74" t="s">
        <v>758</v>
      </c>
      <c r="G74" t="s">
        <v>759</v>
      </c>
      <c r="H74" t="s">
        <v>23</v>
      </c>
      <c r="I74" t="s">
        <v>760</v>
      </c>
      <c r="J74" t="s">
        <v>761</v>
      </c>
      <c r="K74" t="s">
        <v>90</v>
      </c>
      <c r="L74" t="s">
        <v>27</v>
      </c>
      <c r="M74" t="s">
        <v>39</v>
      </c>
      <c r="N74" t="s">
        <v>220</v>
      </c>
      <c r="O74" t="s">
        <v>40</v>
      </c>
      <c r="P74" t="s">
        <v>30</v>
      </c>
    </row>
    <row r="75" spans="1:16" x14ac:dyDescent="0.3">
      <c r="A75" t="s">
        <v>762</v>
      </c>
      <c r="B75" t="s">
        <v>763</v>
      </c>
      <c r="C75" t="s">
        <v>18</v>
      </c>
      <c r="D75" t="s">
        <v>19</v>
      </c>
      <c r="E75" t="s">
        <v>764</v>
      </c>
      <c r="F75" t="s">
        <v>765</v>
      </c>
      <c r="G75" t="s">
        <v>766</v>
      </c>
      <c r="H75" t="s">
        <v>23</v>
      </c>
      <c r="I75" t="s">
        <v>767</v>
      </c>
      <c r="J75" t="s">
        <v>768</v>
      </c>
      <c r="K75" t="s">
        <v>59</v>
      </c>
      <c r="L75" t="s">
        <v>61</v>
      </c>
      <c r="M75" t="s">
        <v>29</v>
      </c>
      <c r="N75" t="s">
        <v>91</v>
      </c>
      <c r="O75" t="s">
        <v>240</v>
      </c>
      <c r="P75" t="s">
        <v>30</v>
      </c>
    </row>
    <row r="76" spans="1:16" x14ac:dyDescent="0.3">
      <c r="A76" t="s">
        <v>769</v>
      </c>
      <c r="B76" t="s">
        <v>770</v>
      </c>
      <c r="C76" t="s">
        <v>95</v>
      </c>
      <c r="D76" t="s">
        <v>19</v>
      </c>
      <c r="E76" t="s">
        <v>771</v>
      </c>
      <c r="F76" t="s">
        <v>772</v>
      </c>
      <c r="G76" t="s">
        <v>773</v>
      </c>
      <c r="H76" t="s">
        <v>774</v>
      </c>
      <c r="I76" t="s">
        <v>775</v>
      </c>
      <c r="J76" t="s">
        <v>776</v>
      </c>
      <c r="K76" t="s">
        <v>219</v>
      </c>
      <c r="L76" t="s">
        <v>81</v>
      </c>
      <c r="M76" t="s">
        <v>30</v>
      </c>
      <c r="N76" t="s">
        <v>777</v>
      </c>
      <c r="O76" t="s">
        <v>778</v>
      </c>
      <c r="P76" t="s">
        <v>217</v>
      </c>
    </row>
    <row r="77" spans="1:16" x14ac:dyDescent="0.3">
      <c r="A77" t="s">
        <v>779</v>
      </c>
      <c r="B77" t="s">
        <v>780</v>
      </c>
      <c r="C77" t="s">
        <v>95</v>
      </c>
      <c r="D77" t="s">
        <v>19</v>
      </c>
      <c r="E77" t="s">
        <v>781</v>
      </c>
      <c r="F77" t="s">
        <v>782</v>
      </c>
      <c r="G77" t="s">
        <v>783</v>
      </c>
      <c r="H77" t="s">
        <v>784</v>
      </c>
      <c r="I77" t="s">
        <v>785</v>
      </c>
      <c r="J77" t="s">
        <v>786</v>
      </c>
      <c r="K77" t="s">
        <v>787</v>
      </c>
      <c r="L77" t="s">
        <v>788</v>
      </c>
      <c r="M77" t="s">
        <v>789</v>
      </c>
      <c r="N77" t="s">
        <v>790</v>
      </c>
      <c r="O77" t="s">
        <v>719</v>
      </c>
      <c r="P77" t="s">
        <v>791</v>
      </c>
    </row>
    <row r="78" spans="1:16" x14ac:dyDescent="0.3">
      <c r="A78" t="s">
        <v>792</v>
      </c>
      <c r="B78" t="s">
        <v>793</v>
      </c>
      <c r="C78" t="s">
        <v>139</v>
      </c>
      <c r="D78" t="s">
        <v>19</v>
      </c>
      <c r="E78" t="s">
        <v>794</v>
      </c>
      <c r="F78" t="s">
        <v>795</v>
      </c>
      <c r="G78" t="s">
        <v>796</v>
      </c>
      <c r="H78" t="s">
        <v>797</v>
      </c>
      <c r="I78" t="s">
        <v>798</v>
      </c>
      <c r="J78" t="s">
        <v>799</v>
      </c>
      <c r="K78" t="s">
        <v>800</v>
      </c>
      <c r="L78" t="s">
        <v>220</v>
      </c>
      <c r="M78" t="s">
        <v>61</v>
      </c>
      <c r="N78" t="s">
        <v>438</v>
      </c>
      <c r="O78" t="s">
        <v>801</v>
      </c>
      <c r="P78" t="s">
        <v>205</v>
      </c>
    </row>
    <row r="79" spans="1:16" x14ac:dyDescent="0.3">
      <c r="A79" t="s">
        <v>802</v>
      </c>
      <c r="B79" t="s">
        <v>803</v>
      </c>
      <c r="C79" t="s">
        <v>139</v>
      </c>
      <c r="D79" t="s">
        <v>19</v>
      </c>
      <c r="E79" t="s">
        <v>804</v>
      </c>
      <c r="F79" t="s">
        <v>805</v>
      </c>
      <c r="G79" t="s">
        <v>806</v>
      </c>
      <c r="H79" t="s">
        <v>807</v>
      </c>
      <c r="I79" t="s">
        <v>808</v>
      </c>
      <c r="J79" t="s">
        <v>809</v>
      </c>
      <c r="K79" t="s">
        <v>187</v>
      </c>
      <c r="L79" t="s">
        <v>61</v>
      </c>
      <c r="M79" t="s">
        <v>30</v>
      </c>
      <c r="N79" t="s">
        <v>58</v>
      </c>
      <c r="O79" t="s">
        <v>241</v>
      </c>
      <c r="P79" t="s">
        <v>30</v>
      </c>
    </row>
    <row r="80" spans="1:16" x14ac:dyDescent="0.3">
      <c r="A80" t="s">
        <v>810</v>
      </c>
      <c r="B80" t="s">
        <v>811</v>
      </c>
      <c r="C80" t="s">
        <v>18</v>
      </c>
      <c r="D80" t="s">
        <v>19</v>
      </c>
      <c r="E80" t="s">
        <v>812</v>
      </c>
      <c r="F80" t="s">
        <v>813</v>
      </c>
      <c r="G80" t="s">
        <v>814</v>
      </c>
      <c r="H80" t="s">
        <v>23</v>
      </c>
      <c r="I80" t="s">
        <v>815</v>
      </c>
      <c r="J80" t="s">
        <v>816</v>
      </c>
      <c r="K80" t="s">
        <v>217</v>
      </c>
      <c r="L80" t="s">
        <v>29</v>
      </c>
      <c r="M80" t="s">
        <v>29</v>
      </c>
      <c r="N80" t="s">
        <v>61</v>
      </c>
      <c r="O80" t="s">
        <v>146</v>
      </c>
      <c r="P80" t="s">
        <v>39</v>
      </c>
    </row>
    <row r="81" spans="1:16" x14ac:dyDescent="0.3">
      <c r="A81" t="s">
        <v>817</v>
      </c>
      <c r="B81" t="s">
        <v>818</v>
      </c>
      <c r="C81" t="s">
        <v>18</v>
      </c>
      <c r="D81" t="s">
        <v>19</v>
      </c>
      <c r="E81" t="s">
        <v>819</v>
      </c>
      <c r="F81" t="s">
        <v>820</v>
      </c>
      <c r="G81" t="s">
        <v>821</v>
      </c>
      <c r="H81" t="s">
        <v>23</v>
      </c>
      <c r="I81" t="s">
        <v>822</v>
      </c>
      <c r="J81" t="s">
        <v>823</v>
      </c>
      <c r="K81" t="s">
        <v>399</v>
      </c>
      <c r="L81" t="s">
        <v>39</v>
      </c>
      <c r="M81" t="s">
        <v>29</v>
      </c>
      <c r="N81" t="s">
        <v>103</v>
      </c>
      <c r="O81" t="s">
        <v>103</v>
      </c>
      <c r="P81" t="s">
        <v>30</v>
      </c>
    </row>
    <row r="82" spans="1:16" x14ac:dyDescent="0.3">
      <c r="A82" t="s">
        <v>824</v>
      </c>
      <c r="B82" t="s">
        <v>825</v>
      </c>
      <c r="C82" t="s">
        <v>18</v>
      </c>
      <c r="D82" t="s">
        <v>19</v>
      </c>
      <c r="E82" t="s">
        <v>826</v>
      </c>
      <c r="F82" t="s">
        <v>827</v>
      </c>
      <c r="G82" t="s">
        <v>828</v>
      </c>
      <c r="H82" t="s">
        <v>23</v>
      </c>
      <c r="I82" t="s">
        <v>829</v>
      </c>
      <c r="J82" t="s">
        <v>830</v>
      </c>
      <c r="K82" t="s">
        <v>40</v>
      </c>
      <c r="L82" t="s">
        <v>28</v>
      </c>
      <c r="M82" t="s">
        <v>29</v>
      </c>
      <c r="N82" t="s">
        <v>61</v>
      </c>
      <c r="O82" t="s">
        <v>146</v>
      </c>
      <c r="P82" t="s">
        <v>30</v>
      </c>
    </row>
    <row r="83" spans="1:16" x14ac:dyDescent="0.3">
      <c r="A83" t="s">
        <v>831</v>
      </c>
      <c r="B83" t="s">
        <v>832</v>
      </c>
      <c r="C83" t="s">
        <v>18</v>
      </c>
      <c r="D83" t="s">
        <v>19</v>
      </c>
      <c r="E83" t="s">
        <v>833</v>
      </c>
      <c r="F83" t="s">
        <v>834</v>
      </c>
      <c r="G83" t="s">
        <v>835</v>
      </c>
      <c r="H83" t="s">
        <v>23</v>
      </c>
      <c r="I83" t="s">
        <v>836</v>
      </c>
      <c r="J83" t="s">
        <v>837</v>
      </c>
      <c r="K83" t="s">
        <v>71</v>
      </c>
      <c r="L83" t="s">
        <v>39</v>
      </c>
      <c r="M83" t="s">
        <v>28</v>
      </c>
      <c r="N83" t="s">
        <v>39</v>
      </c>
      <c r="O83" t="s">
        <v>29</v>
      </c>
      <c r="P83" t="s">
        <v>61</v>
      </c>
    </row>
    <row r="84" spans="1:16" x14ac:dyDescent="0.3">
      <c r="A84" t="s">
        <v>838</v>
      </c>
      <c r="B84" t="s">
        <v>839</v>
      </c>
      <c r="C84" t="s">
        <v>18</v>
      </c>
      <c r="D84" t="s">
        <v>19</v>
      </c>
      <c r="E84" t="s">
        <v>840</v>
      </c>
      <c r="F84" t="s">
        <v>841</v>
      </c>
      <c r="G84" t="s">
        <v>842</v>
      </c>
      <c r="H84" t="s">
        <v>23</v>
      </c>
      <c r="I84" t="s">
        <v>843</v>
      </c>
      <c r="J84" t="s">
        <v>844</v>
      </c>
      <c r="K84" t="s">
        <v>91</v>
      </c>
      <c r="L84" t="s">
        <v>29</v>
      </c>
      <c r="M84" t="s">
        <v>27</v>
      </c>
      <c r="N84" t="s">
        <v>61</v>
      </c>
      <c r="O84" t="s">
        <v>29</v>
      </c>
      <c r="P84" t="s">
        <v>29</v>
      </c>
    </row>
    <row r="85" spans="1:16" x14ac:dyDescent="0.3">
      <c r="A85" t="s">
        <v>845</v>
      </c>
      <c r="B85" t="s">
        <v>846</v>
      </c>
      <c r="C85" t="s">
        <v>18</v>
      </c>
      <c r="D85" t="s">
        <v>19</v>
      </c>
      <c r="E85" t="s">
        <v>847</v>
      </c>
      <c r="F85" t="s">
        <v>848</v>
      </c>
      <c r="G85" t="s">
        <v>849</v>
      </c>
      <c r="H85" t="s">
        <v>23</v>
      </c>
      <c r="I85" t="s">
        <v>850</v>
      </c>
      <c r="J85" t="s">
        <v>851</v>
      </c>
      <c r="K85" t="s">
        <v>58</v>
      </c>
      <c r="L85" t="s">
        <v>28</v>
      </c>
      <c r="M85" t="s">
        <v>27</v>
      </c>
      <c r="N85" t="s">
        <v>58</v>
      </c>
      <c r="O85" t="s">
        <v>29</v>
      </c>
      <c r="P85" t="s">
        <v>29</v>
      </c>
    </row>
    <row r="86" spans="1:16" x14ac:dyDescent="0.3">
      <c r="A86" t="s">
        <v>852</v>
      </c>
      <c r="B86" t="s">
        <v>853</v>
      </c>
      <c r="C86" t="s">
        <v>18</v>
      </c>
      <c r="D86" t="s">
        <v>19</v>
      </c>
      <c r="E86" t="s">
        <v>854</v>
      </c>
      <c r="F86" t="s">
        <v>855</v>
      </c>
      <c r="G86" t="s">
        <v>856</v>
      </c>
      <c r="H86" t="s">
        <v>23</v>
      </c>
      <c r="I86" t="s">
        <v>857</v>
      </c>
      <c r="J86" t="s">
        <v>858</v>
      </c>
      <c r="K86" t="s">
        <v>39</v>
      </c>
      <c r="L86" t="s">
        <v>27</v>
      </c>
      <c r="M86" t="s">
        <v>28</v>
      </c>
      <c r="N86" t="s">
        <v>39</v>
      </c>
      <c r="O86" t="s">
        <v>39</v>
      </c>
      <c r="P86" t="s">
        <v>28</v>
      </c>
    </row>
    <row r="87" spans="1:16" x14ac:dyDescent="0.3">
      <c r="A87" t="s">
        <v>859</v>
      </c>
      <c r="B87" t="s">
        <v>860</v>
      </c>
      <c r="C87" t="s">
        <v>18</v>
      </c>
      <c r="D87" t="s">
        <v>19</v>
      </c>
      <c r="E87" t="s">
        <v>861</v>
      </c>
      <c r="F87" t="s">
        <v>862</v>
      </c>
      <c r="G87" t="s">
        <v>863</v>
      </c>
      <c r="H87" t="s">
        <v>23</v>
      </c>
      <c r="I87" t="s">
        <v>864</v>
      </c>
      <c r="J87" t="s">
        <v>865</v>
      </c>
      <c r="K87" t="s">
        <v>866</v>
      </c>
      <c r="L87" t="s">
        <v>81</v>
      </c>
      <c r="M87" t="s">
        <v>30</v>
      </c>
      <c r="N87" t="s">
        <v>80</v>
      </c>
      <c r="O87" t="s">
        <v>40</v>
      </c>
      <c r="P87" t="s">
        <v>70</v>
      </c>
    </row>
    <row r="88" spans="1:16" x14ac:dyDescent="0.3">
      <c r="A88" t="s">
        <v>867</v>
      </c>
      <c r="B88" t="s">
        <v>868</v>
      </c>
      <c r="C88" t="s">
        <v>18</v>
      </c>
      <c r="D88" t="s">
        <v>19</v>
      </c>
      <c r="E88" t="s">
        <v>869</v>
      </c>
      <c r="F88" t="s">
        <v>870</v>
      </c>
      <c r="G88" t="s">
        <v>871</v>
      </c>
      <c r="H88" t="s">
        <v>23</v>
      </c>
      <c r="I88" t="s">
        <v>872</v>
      </c>
      <c r="J88" t="s">
        <v>873</v>
      </c>
      <c r="K88" t="s">
        <v>594</v>
      </c>
      <c r="L88" t="s">
        <v>70</v>
      </c>
      <c r="M88" t="s">
        <v>39</v>
      </c>
      <c r="N88" t="s">
        <v>497</v>
      </c>
      <c r="O88" t="s">
        <v>82</v>
      </c>
      <c r="P88" t="s">
        <v>91</v>
      </c>
    </row>
    <row r="89" spans="1:16" x14ac:dyDescent="0.3">
      <c r="A89" t="s">
        <v>874</v>
      </c>
      <c r="B89" t="s">
        <v>875</v>
      </c>
      <c r="C89" t="s">
        <v>95</v>
      </c>
      <c r="D89" t="s">
        <v>19</v>
      </c>
      <c r="E89" t="s">
        <v>876</v>
      </c>
      <c r="F89" t="s">
        <v>877</v>
      </c>
      <c r="G89" t="s">
        <v>878</v>
      </c>
      <c r="H89" t="s">
        <v>28</v>
      </c>
      <c r="I89" t="s">
        <v>879</v>
      </c>
      <c r="J89" t="s">
        <v>880</v>
      </c>
      <c r="K89" t="s">
        <v>881</v>
      </c>
      <c r="L89" t="s">
        <v>300</v>
      </c>
      <c r="M89" t="s">
        <v>58</v>
      </c>
      <c r="N89" t="s">
        <v>801</v>
      </c>
      <c r="O89" t="s">
        <v>497</v>
      </c>
      <c r="P89" t="s">
        <v>72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FEF0-B91B-4FEF-BD9C-6ED953C3FE11}">
  <sheetPr filterMode="1"/>
  <dimension ref="A1:R89"/>
  <sheetViews>
    <sheetView zoomScale="55" zoomScaleNormal="55" workbookViewId="0">
      <selection activeCell="A39" sqref="A39:XFD39"/>
    </sheetView>
  </sheetViews>
  <sheetFormatPr defaultRowHeight="15" x14ac:dyDescent="0.3"/>
  <cols>
    <col min="1" max="1" width="43.86328125" customWidth="1"/>
    <col min="2" max="2" width="9.33203125" bestFit="1" customWidth="1"/>
    <col min="3" max="3" width="19.73046875" bestFit="1" customWidth="1"/>
    <col min="4" max="4" width="10.59765625" bestFit="1" customWidth="1"/>
    <col min="5" max="5" width="8.796875" bestFit="1" customWidth="1"/>
    <col min="9" max="9" width="11.265625" bestFit="1" customWidth="1"/>
    <col min="11" max="11" width="13.265625" bestFit="1" customWidth="1"/>
    <col min="16" max="16" width="10.796875" bestFit="1" customWidth="1"/>
    <col min="17" max="18" width="9.06640625" customWidth="1"/>
  </cols>
  <sheetData>
    <row r="1" spans="1:18" ht="18.5" x14ac:dyDescent="0.3">
      <c r="A1" s="2" t="s">
        <v>971</v>
      </c>
      <c r="B1" s="2" t="s">
        <v>972</v>
      </c>
      <c r="C1" s="2" t="s">
        <v>1</v>
      </c>
      <c r="D1" s="2" t="s">
        <v>2</v>
      </c>
      <c r="E1" s="2" t="s">
        <v>3</v>
      </c>
      <c r="F1" s="2" t="s">
        <v>956</v>
      </c>
      <c r="G1" s="2" t="s">
        <v>957</v>
      </c>
      <c r="H1" s="2" t="s">
        <v>958</v>
      </c>
      <c r="I1" s="2" t="s">
        <v>959</v>
      </c>
      <c r="J1" s="2" t="s">
        <v>960</v>
      </c>
      <c r="K1" s="2" t="s">
        <v>961</v>
      </c>
      <c r="L1" s="2" t="s">
        <v>962</v>
      </c>
      <c r="M1" s="2" t="s">
        <v>11</v>
      </c>
      <c r="N1" s="2" t="s">
        <v>12</v>
      </c>
      <c r="O1" s="2" t="s">
        <v>13</v>
      </c>
      <c r="P1" s="2" t="s">
        <v>1095</v>
      </c>
      <c r="Q1" s="2" t="s">
        <v>15</v>
      </c>
    </row>
    <row r="2" spans="1:18" hidden="1" x14ac:dyDescent="0.3">
      <c r="A2" s="7" t="s">
        <v>1118</v>
      </c>
      <c r="B2" s="4" t="s">
        <v>1117</v>
      </c>
      <c r="C2" s="7" t="s">
        <v>1119</v>
      </c>
      <c r="D2" s="7" t="s">
        <v>139</v>
      </c>
      <c r="E2" s="7" t="s">
        <v>19</v>
      </c>
      <c r="F2" s="7">
        <v>16804</v>
      </c>
      <c r="G2" s="7">
        <v>6.4149999999999997E-3</v>
      </c>
      <c r="H2" s="7">
        <v>0.209234</v>
      </c>
      <c r="I2" s="7">
        <v>0.25925900000000002</v>
      </c>
      <c r="J2" s="7">
        <v>0.499691</v>
      </c>
      <c r="K2" s="7">
        <v>11.140824</v>
      </c>
      <c r="L2" s="7">
        <v>739</v>
      </c>
      <c r="M2" s="7">
        <v>124</v>
      </c>
      <c r="N2" s="7">
        <v>5</v>
      </c>
      <c r="O2" s="7">
        <v>455</v>
      </c>
      <c r="P2" s="7">
        <v>121</v>
      </c>
      <c r="Q2" s="7">
        <v>43</v>
      </c>
      <c r="R2" t="str" cm="1">
        <f t="array" ref="R2">_xlfn.IFS(
    F2&lt;4016, "烂",
    F2&lt;=12047, "常规",
    F2&lt;=27085, "小爆",
    F2&lt;=139426, "爆款",
    F2&lt;=212613, "大爆款",
    F2&gt;=212614, "超大爆款"
)</f>
        <v>小爆</v>
      </c>
    </row>
    <row r="3" spans="1:18" hidden="1" x14ac:dyDescent="0.3">
      <c r="A3" s="7" t="s">
        <v>1110</v>
      </c>
      <c r="B3" s="4" t="s">
        <v>1112</v>
      </c>
      <c r="C3" s="7" t="s">
        <v>1111</v>
      </c>
      <c r="D3" s="7" t="s">
        <v>95</v>
      </c>
      <c r="E3" s="7" t="s">
        <v>19</v>
      </c>
      <c r="F3" s="7">
        <v>1707</v>
      </c>
      <c r="G3" s="7">
        <v>5.215E-3</v>
      </c>
      <c r="H3" s="7">
        <v>0.209753</v>
      </c>
      <c r="I3" s="7">
        <v>0.8</v>
      </c>
      <c r="J3" s="7">
        <v>0.50528799999999996</v>
      </c>
      <c r="K3" s="7">
        <v>7.0105389999999996</v>
      </c>
      <c r="L3" s="7">
        <v>50</v>
      </c>
      <c r="M3" s="7">
        <v>4</v>
      </c>
      <c r="N3" s="7">
        <v>0</v>
      </c>
      <c r="O3" s="7">
        <v>22</v>
      </c>
      <c r="P3" s="7">
        <v>24</v>
      </c>
      <c r="Q3" s="7">
        <v>2</v>
      </c>
      <c r="R3" t="str" cm="1">
        <f t="array" ref="R3">_xlfn.IFS(
    F3&lt;4016, "烂",
    F3&lt;=12047, "常规",
    F3&lt;=27085, "小爆",
    F3&lt;=139426, "爆款",
    F3&lt;=212613, "大爆款",
    F3&gt;=212614, "超大爆款"
)</f>
        <v>烂</v>
      </c>
    </row>
    <row r="4" spans="1:18" hidden="1" x14ac:dyDescent="0.3">
      <c r="A4" s="7" t="s">
        <v>1108</v>
      </c>
      <c r="B4" s="4" t="s">
        <v>1107</v>
      </c>
      <c r="C4" s="7" t="s">
        <v>1109</v>
      </c>
      <c r="D4" s="7" t="s">
        <v>18</v>
      </c>
      <c r="E4" s="7" t="s">
        <v>19</v>
      </c>
      <c r="F4" s="7">
        <v>22888</v>
      </c>
      <c r="G4" s="7">
        <v>1.8085E-2</v>
      </c>
      <c r="H4" s="7">
        <v>0.30011100000000002</v>
      </c>
      <c r="I4" s="7" t="s">
        <v>23</v>
      </c>
      <c r="J4" s="7">
        <v>0.45667799999999997</v>
      </c>
      <c r="K4" s="7">
        <v>10.026654000000001</v>
      </c>
      <c r="L4" s="7">
        <v>792</v>
      </c>
      <c r="M4" s="7">
        <v>82</v>
      </c>
      <c r="N4" s="7">
        <v>14</v>
      </c>
      <c r="O4" s="7">
        <v>365</v>
      </c>
      <c r="P4" s="7">
        <v>498</v>
      </c>
      <c r="Q4" s="7">
        <v>71</v>
      </c>
      <c r="R4" t="str" cm="1">
        <f t="array" ref="R4">_xlfn.IFS(
    F4&lt;4016, "烂",
    F4&lt;=12047, "常规",
    F4&lt;=27085, "小爆",
    F4&lt;=139426, "爆款",
    F4&lt;=212613, "大爆款",
    F4&gt;=212614, "超大爆款"
)</f>
        <v>小爆</v>
      </c>
    </row>
    <row r="5" spans="1:18" ht="16.5" hidden="1" x14ac:dyDescent="0.3">
      <c r="A5" s="11" t="s">
        <v>1104</v>
      </c>
      <c r="B5" s="4" t="s">
        <v>1101</v>
      </c>
      <c r="C5" s="7" t="s">
        <v>1099</v>
      </c>
      <c r="D5" s="7" t="s">
        <v>18</v>
      </c>
      <c r="E5" s="7" t="s">
        <v>19</v>
      </c>
      <c r="F5" s="7">
        <v>4145</v>
      </c>
      <c r="G5" s="7">
        <v>1.6490999999999999E-2</v>
      </c>
      <c r="H5" s="7">
        <v>0.244953</v>
      </c>
      <c r="I5" s="7" t="s">
        <v>23</v>
      </c>
      <c r="J5" s="7">
        <v>0.51895599999999997</v>
      </c>
      <c r="K5" s="7">
        <v>10.416829999999999</v>
      </c>
      <c r="L5" s="7">
        <v>111</v>
      </c>
      <c r="M5" s="7">
        <v>11</v>
      </c>
      <c r="N5" s="7">
        <v>7</v>
      </c>
      <c r="O5" s="7">
        <v>33</v>
      </c>
      <c r="P5" s="7">
        <v>37</v>
      </c>
      <c r="Q5" s="7">
        <v>2</v>
      </c>
      <c r="R5" t="str" cm="1">
        <f t="array" ref="R5">_xlfn.IFS(
    F5&lt;4016, "烂",
    F5&lt;=12047, "常规",
    F5&lt;=27085, "小爆",
    F5&lt;=139426, "爆款",
    F5&lt;=212613, "大爆款",
    F5&gt;=212614, "超大爆款"
)</f>
        <v>常规</v>
      </c>
    </row>
    <row r="6" spans="1:18" hidden="1" x14ac:dyDescent="0.3">
      <c r="A6" s="7" t="s">
        <v>1056</v>
      </c>
      <c r="B6" s="4" t="s">
        <v>1061</v>
      </c>
      <c r="C6" s="7" t="s">
        <v>1057</v>
      </c>
      <c r="D6" s="7" t="s">
        <v>18</v>
      </c>
      <c r="E6" s="7" t="s">
        <v>19</v>
      </c>
      <c r="F6" s="7">
        <v>1633</v>
      </c>
      <c r="G6" s="7">
        <v>1.3235E-2</v>
      </c>
      <c r="H6" s="7">
        <v>0.22214800000000001</v>
      </c>
      <c r="I6" s="7" t="s">
        <v>23</v>
      </c>
      <c r="J6" s="7">
        <v>0.58859099999999998</v>
      </c>
      <c r="K6" s="7">
        <v>7.775989</v>
      </c>
      <c r="L6" s="7">
        <v>60</v>
      </c>
      <c r="M6" s="7">
        <v>1</v>
      </c>
      <c r="N6" s="7">
        <v>0</v>
      </c>
      <c r="O6" s="7">
        <v>12</v>
      </c>
      <c r="P6" s="7">
        <v>29</v>
      </c>
      <c r="Q6" s="7">
        <v>5</v>
      </c>
      <c r="R6" t="str" cm="1">
        <f t="array" ref="R6">_xlfn.IFS(
    F6&lt;4016, "烂",
    F6&lt;=12047, "常规",
    F6&lt;=27085, "小爆",
    F6&lt;=139426, "爆款",
    F6&lt;=212613, "大爆款",
    F6&gt;=212614, "超大爆款"
)</f>
        <v>烂</v>
      </c>
    </row>
    <row r="7" spans="1:18" hidden="1" x14ac:dyDescent="0.3">
      <c r="A7" s="7" t="s">
        <v>1058</v>
      </c>
      <c r="B7" s="4" t="s">
        <v>1060</v>
      </c>
      <c r="C7" s="7" t="s">
        <v>1059</v>
      </c>
      <c r="D7" s="7" t="s">
        <v>18</v>
      </c>
      <c r="E7" s="7" t="s">
        <v>19</v>
      </c>
      <c r="F7" s="7">
        <v>5060</v>
      </c>
      <c r="G7" s="7">
        <v>1.6160000000000001E-2</v>
      </c>
      <c r="H7" s="7">
        <v>0.29679800000000001</v>
      </c>
      <c r="I7" s="7" t="s">
        <v>23</v>
      </c>
      <c r="J7" s="7">
        <v>0.49795800000000001</v>
      </c>
      <c r="K7" s="7">
        <v>11.70341</v>
      </c>
      <c r="L7" s="7">
        <v>205</v>
      </c>
      <c r="M7" s="7">
        <v>20</v>
      </c>
      <c r="N7" s="7">
        <v>5</v>
      </c>
      <c r="O7" s="7">
        <v>76</v>
      </c>
      <c r="P7" s="7">
        <v>89</v>
      </c>
      <c r="Q7" s="7">
        <v>11</v>
      </c>
      <c r="R7" t="str" cm="1">
        <f t="array" ref="R7">_xlfn.IFS(
    F7&lt;4016, "烂",
    F7&lt;=12047, "常规",
    F7&lt;=27085, "小爆",
    F7&lt;=139426, "爆款",
    F7&lt;=212613, "大爆款",
    F7&gt;=212614, "超大爆款"
)</f>
        <v>常规</v>
      </c>
    </row>
    <row r="8" spans="1:18" hidden="1" x14ac:dyDescent="0.3">
      <c r="A8" t="s">
        <v>16</v>
      </c>
      <c r="B8" s="4" t="s">
        <v>1046</v>
      </c>
      <c r="C8" t="s">
        <v>17</v>
      </c>
      <c r="D8" t="s">
        <v>18</v>
      </c>
      <c r="E8" t="s">
        <v>19</v>
      </c>
      <c r="F8">
        <v>848</v>
      </c>
      <c r="G8">
        <v>1.1252E-2</v>
      </c>
      <c r="H8">
        <v>0.115789</v>
      </c>
      <c r="I8" t="s">
        <v>23</v>
      </c>
      <c r="J8">
        <v>0.611842</v>
      </c>
      <c r="K8">
        <v>3.5984250000000002</v>
      </c>
      <c r="L8">
        <v>18</v>
      </c>
      <c r="M8">
        <v>0</v>
      </c>
      <c r="N8">
        <v>1</v>
      </c>
      <c r="O8">
        <v>2</v>
      </c>
      <c r="P8">
        <v>5</v>
      </c>
      <c r="Q8">
        <v>1</v>
      </c>
      <c r="R8" t="str" cm="1">
        <f t="array" ref="R8">_xlfn.IFS(
    F8&lt;4016, "烂",
    F8&lt;=12047, "常规",
    F8&lt;=27085, "小爆",
    F8&lt;=139426, "爆款",
    F8&lt;=212613, "大爆款",
    F8&gt;=212614, "超大爆款"
)</f>
        <v>烂</v>
      </c>
    </row>
    <row r="9" spans="1:18" hidden="1" x14ac:dyDescent="0.3">
      <c r="A9" t="s">
        <v>31</v>
      </c>
      <c r="B9" s="4" t="s">
        <v>1047</v>
      </c>
      <c r="C9" t="s">
        <v>32</v>
      </c>
      <c r="D9" t="s">
        <v>18</v>
      </c>
      <c r="E9" t="s">
        <v>19</v>
      </c>
      <c r="F9">
        <v>1904</v>
      </c>
      <c r="G9">
        <v>2.3143E-2</v>
      </c>
      <c r="H9">
        <v>0.21343899999999999</v>
      </c>
      <c r="I9" t="s">
        <v>23</v>
      </c>
      <c r="J9">
        <v>0.51101099999999999</v>
      </c>
      <c r="K9">
        <v>5.8952109999999998</v>
      </c>
      <c r="L9">
        <v>56</v>
      </c>
      <c r="M9">
        <v>4</v>
      </c>
      <c r="N9">
        <v>0</v>
      </c>
      <c r="O9">
        <v>20</v>
      </c>
      <c r="P9">
        <v>24</v>
      </c>
      <c r="Q9">
        <v>0</v>
      </c>
      <c r="R9" t="str" cm="1">
        <f t="array" ref="R9">_xlfn.IFS(
    F9&lt;4016, "烂",
    F9&lt;=12047, "常规",
    F9&lt;=27085, "小爆",
    F9&lt;=139426, "爆款",
    F9&lt;=212613, "大爆款",
    F9&gt;=212614, "超大爆款"
)</f>
        <v>烂</v>
      </c>
    </row>
    <row r="10" spans="1:18" hidden="1" x14ac:dyDescent="0.3">
      <c r="A10" t="s">
        <v>42</v>
      </c>
      <c r="B10" s="4" t="s">
        <v>1048</v>
      </c>
      <c r="C10" t="s">
        <v>43</v>
      </c>
      <c r="D10" t="s">
        <v>18</v>
      </c>
      <c r="E10" t="s">
        <v>19</v>
      </c>
      <c r="F10">
        <v>1755</v>
      </c>
      <c r="G10">
        <v>2.0677000000000001E-2</v>
      </c>
      <c r="H10">
        <v>0.211505</v>
      </c>
      <c r="I10" t="s">
        <v>23</v>
      </c>
      <c r="J10">
        <v>0.587449</v>
      </c>
      <c r="K10">
        <v>6.9413130000000001</v>
      </c>
      <c r="L10">
        <v>64</v>
      </c>
      <c r="M10">
        <v>5</v>
      </c>
      <c r="N10">
        <v>0</v>
      </c>
      <c r="O10">
        <v>20</v>
      </c>
      <c r="P10">
        <v>20</v>
      </c>
      <c r="Q10">
        <v>0</v>
      </c>
      <c r="R10" t="str" cm="1">
        <f t="array" ref="R10">_xlfn.IFS(
    F10&lt;4016, "烂",
    F10&lt;=12047, "常规",
    F10&lt;=27085, "小爆",
    F10&lt;=139426, "爆款",
    F10&lt;=212613, "大爆款",
    F10&gt;=212614, "超大爆款"
)</f>
        <v>烂</v>
      </c>
    </row>
    <row r="11" spans="1:18" ht="16.5" hidden="1" x14ac:dyDescent="0.3">
      <c r="A11" t="s">
        <v>50</v>
      </c>
      <c r="B11" s="4" t="s">
        <v>1045</v>
      </c>
      <c r="C11" t="s">
        <v>51</v>
      </c>
      <c r="D11" t="s">
        <v>18</v>
      </c>
      <c r="E11" s="1" t="s">
        <v>882</v>
      </c>
      <c r="F11">
        <v>3443</v>
      </c>
      <c r="G11">
        <v>2.3439999999999999E-2</v>
      </c>
      <c r="H11">
        <v>0.23060600000000001</v>
      </c>
      <c r="I11" t="s">
        <v>23</v>
      </c>
      <c r="J11">
        <v>0.49909100000000001</v>
      </c>
      <c r="K11">
        <v>7.9775960000000001</v>
      </c>
      <c r="L11">
        <v>116</v>
      </c>
      <c r="M11">
        <v>8</v>
      </c>
      <c r="N11">
        <v>2</v>
      </c>
      <c r="O11">
        <v>43</v>
      </c>
      <c r="P11">
        <v>45</v>
      </c>
      <c r="Q11">
        <v>3</v>
      </c>
      <c r="R11" t="str" cm="1">
        <f t="array" ref="R11">_xlfn.IFS(
    F11&lt;4016, "烂",
    F11&lt;=12047, "常规",
    F11&lt;=27085, "小爆",
    F11&lt;=139426, "爆款",
    F11&lt;=212613, "大爆款",
    F11&gt;=212614, "超大爆款"
)</f>
        <v>烂</v>
      </c>
    </row>
    <row r="12" spans="1:18" hidden="1" x14ac:dyDescent="0.3">
      <c r="A12" t="s">
        <v>62</v>
      </c>
      <c r="B12" s="4" t="s">
        <v>1044</v>
      </c>
      <c r="C12" t="s">
        <v>63</v>
      </c>
      <c r="D12" t="s">
        <v>18</v>
      </c>
      <c r="E12" t="s">
        <v>19</v>
      </c>
      <c r="F12">
        <v>1648</v>
      </c>
      <c r="G12">
        <v>3.4256000000000002E-2</v>
      </c>
      <c r="H12">
        <v>0.22350100000000001</v>
      </c>
      <c r="I12" t="s">
        <v>23</v>
      </c>
      <c r="J12">
        <v>0.52453099999999997</v>
      </c>
      <c r="K12">
        <v>11.374924</v>
      </c>
      <c r="L12">
        <v>35</v>
      </c>
      <c r="M12">
        <v>6</v>
      </c>
      <c r="N12">
        <v>3</v>
      </c>
      <c r="O12">
        <v>12</v>
      </c>
      <c r="P12">
        <v>23</v>
      </c>
      <c r="Q12">
        <v>1</v>
      </c>
      <c r="R12" t="str" cm="1">
        <f t="array" ref="R12">_xlfn.IFS(
    F12&lt;4016, "烂",
    F12&lt;=12047, "常规",
    F12&lt;=27085, "小爆",
    F12&lt;=139426, "爆款",
    F12&lt;=212613, "大爆款",
    F12&gt;=212614, "超大爆款"
)</f>
        <v>烂</v>
      </c>
    </row>
    <row r="13" spans="1:18" hidden="1" x14ac:dyDescent="0.3">
      <c r="A13" t="s">
        <v>73</v>
      </c>
      <c r="B13" s="4" t="s">
        <v>1043</v>
      </c>
      <c r="C13" t="s">
        <v>74</v>
      </c>
      <c r="D13" t="s">
        <v>18</v>
      </c>
      <c r="E13" t="s">
        <v>19</v>
      </c>
      <c r="F13">
        <v>1942</v>
      </c>
      <c r="G13">
        <v>4.7920999999999998E-2</v>
      </c>
      <c r="H13">
        <v>0.30291800000000002</v>
      </c>
      <c r="I13" t="s">
        <v>23</v>
      </c>
      <c r="J13">
        <v>0.45251999999999998</v>
      </c>
      <c r="K13">
        <v>10.977261</v>
      </c>
      <c r="L13">
        <v>51</v>
      </c>
      <c r="M13">
        <v>4</v>
      </c>
      <c r="N13">
        <v>1</v>
      </c>
      <c r="O13">
        <v>13</v>
      </c>
      <c r="P13">
        <v>22</v>
      </c>
      <c r="Q13">
        <v>2</v>
      </c>
      <c r="R13" t="str" cm="1">
        <f t="array" ref="R13">_xlfn.IFS(
    F13&lt;4016, "烂",
    F13&lt;=12047, "常规",
    F13&lt;=27085, "小爆",
    F13&lt;=139426, "爆款",
    F13&lt;=212613, "大爆款",
    F13&gt;=212614, "超大爆款"
)</f>
        <v>烂</v>
      </c>
    </row>
    <row r="14" spans="1:18" hidden="1" x14ac:dyDescent="0.3">
      <c r="A14" t="s">
        <v>83</v>
      </c>
      <c r="B14" s="4" t="s">
        <v>1042</v>
      </c>
      <c r="C14" t="s">
        <v>84</v>
      </c>
      <c r="D14" t="s">
        <v>18</v>
      </c>
      <c r="E14" t="s">
        <v>19</v>
      </c>
      <c r="F14">
        <v>2163</v>
      </c>
      <c r="G14">
        <v>1.3724999999999999E-2</v>
      </c>
      <c r="H14">
        <v>0.21467900000000001</v>
      </c>
      <c r="I14" t="s">
        <v>23</v>
      </c>
      <c r="J14">
        <v>0.50642200000000004</v>
      </c>
      <c r="K14">
        <v>7.5609529999999996</v>
      </c>
      <c r="L14">
        <v>41</v>
      </c>
      <c r="M14">
        <v>0</v>
      </c>
      <c r="N14">
        <v>0</v>
      </c>
      <c r="O14">
        <v>9</v>
      </c>
      <c r="P14">
        <v>28</v>
      </c>
      <c r="Q14">
        <v>1</v>
      </c>
      <c r="R14" t="str" cm="1">
        <f t="array" ref="R14">_xlfn.IFS(
    F14&lt;4016, "烂",
    F14&lt;=12047, "常规",
    F14&lt;=27085, "小爆",
    F14&lt;=139426, "爆款",
    F14&lt;=212613, "大爆款",
    F14&gt;=212614, "超大爆款"
)</f>
        <v>烂</v>
      </c>
    </row>
    <row r="15" spans="1:18" hidden="1" x14ac:dyDescent="0.3">
      <c r="A15" t="s">
        <v>93</v>
      </c>
      <c r="B15" s="4" t="s">
        <v>1041</v>
      </c>
      <c r="C15" t="s">
        <v>94</v>
      </c>
      <c r="D15" t="s">
        <v>95</v>
      </c>
      <c r="E15" t="s">
        <v>19</v>
      </c>
      <c r="F15">
        <v>2188</v>
      </c>
      <c r="G15">
        <v>1.7045000000000001E-2</v>
      </c>
      <c r="H15">
        <v>0.178232</v>
      </c>
      <c r="I15">
        <v>0.41228100000000001</v>
      </c>
      <c r="J15">
        <v>0.58222399999999996</v>
      </c>
      <c r="K15">
        <v>19.869896000000001</v>
      </c>
      <c r="L15">
        <v>57</v>
      </c>
      <c r="M15">
        <v>3</v>
      </c>
      <c r="N15">
        <v>0</v>
      </c>
      <c r="O15">
        <v>16</v>
      </c>
      <c r="P15">
        <v>26</v>
      </c>
      <c r="Q15">
        <v>1</v>
      </c>
      <c r="R15" t="str" cm="1">
        <f t="array" ref="R15">_xlfn.IFS(
    F15&lt;4016, "烂",
    F15&lt;=12047, "常规",
    F15&lt;=27085, "小爆",
    F15&lt;=139426, "爆款",
    F15&lt;=212613, "大爆款",
    F15&gt;=212614, "超大爆款"
)</f>
        <v>烂</v>
      </c>
    </row>
    <row r="16" spans="1:18" x14ac:dyDescent="0.3">
      <c r="A16" t="s">
        <v>105</v>
      </c>
      <c r="B16" s="4" t="s">
        <v>1052</v>
      </c>
      <c r="C16" t="s">
        <v>106</v>
      </c>
      <c r="D16" t="s">
        <v>18</v>
      </c>
      <c r="E16" t="s">
        <v>19</v>
      </c>
      <c r="F16">
        <v>88770</v>
      </c>
      <c r="G16">
        <v>2.5576999999999999E-2</v>
      </c>
      <c r="H16">
        <v>0.33443099999999998</v>
      </c>
      <c r="I16" t="s">
        <v>23</v>
      </c>
      <c r="J16">
        <v>0.35447699999999999</v>
      </c>
      <c r="K16">
        <v>15.833062</v>
      </c>
      <c r="L16">
        <v>4114</v>
      </c>
      <c r="M16">
        <v>518</v>
      </c>
      <c r="N16">
        <v>92</v>
      </c>
      <c r="O16">
        <v>2885</v>
      </c>
      <c r="P16">
        <v>1171</v>
      </c>
      <c r="Q16">
        <v>318</v>
      </c>
      <c r="R16" t="str" cm="1">
        <f t="array" ref="R16">_xlfn.IFS(
    F16&lt;4016, "烂",
    F16&lt;=12047, "常规",
    F16&lt;=27085, "小爆",
    F16&lt;=139426, "爆款",
    F16&lt;=212613, "大爆款",
    F16&gt;=212614, "超大爆款"
)</f>
        <v>爆款</v>
      </c>
    </row>
    <row r="17" spans="1:18" hidden="1" x14ac:dyDescent="0.3">
      <c r="A17" t="s">
        <v>118</v>
      </c>
      <c r="B17" s="4" t="s">
        <v>1040</v>
      </c>
      <c r="C17" t="s">
        <v>119</v>
      </c>
      <c r="D17" t="s">
        <v>95</v>
      </c>
      <c r="E17" t="s">
        <v>19</v>
      </c>
      <c r="F17">
        <v>6551</v>
      </c>
      <c r="G17">
        <v>1.6660999999999999E-2</v>
      </c>
      <c r="H17">
        <v>0.29143799999999997</v>
      </c>
      <c r="I17">
        <v>0.20274900000000001</v>
      </c>
      <c r="J17">
        <v>0.44724700000000001</v>
      </c>
      <c r="K17">
        <v>14.001037</v>
      </c>
      <c r="L17">
        <v>267</v>
      </c>
      <c r="M17">
        <v>24</v>
      </c>
      <c r="N17">
        <v>5</v>
      </c>
      <c r="O17">
        <v>146</v>
      </c>
      <c r="P17">
        <v>123</v>
      </c>
      <c r="Q17">
        <v>22</v>
      </c>
      <c r="R17" t="str" cm="1">
        <f t="array" ref="R17">_xlfn.IFS(
    F17&lt;4016, "烂",
    F17&lt;=12047, "常规",
    F17&lt;=27085, "小爆",
    F17&lt;=139426, "爆款",
    F17&lt;=212613, "大爆款",
    F17&gt;=212614, "超大爆款"
)</f>
        <v>常规</v>
      </c>
    </row>
    <row r="18" spans="1:18" hidden="1" x14ac:dyDescent="0.3">
      <c r="A18" t="s">
        <v>129</v>
      </c>
      <c r="B18" s="4" t="s">
        <v>1039</v>
      </c>
      <c r="C18" t="s">
        <v>130</v>
      </c>
      <c r="D18" t="s">
        <v>18</v>
      </c>
      <c r="E18" t="s">
        <v>19</v>
      </c>
      <c r="F18">
        <v>2141</v>
      </c>
      <c r="G18">
        <v>1.5285999999999999E-2</v>
      </c>
      <c r="H18">
        <v>0.23066600000000001</v>
      </c>
      <c r="I18" t="s">
        <v>23</v>
      </c>
      <c r="J18">
        <v>0.54269100000000003</v>
      </c>
      <c r="K18">
        <v>10.458724</v>
      </c>
      <c r="L18">
        <v>45</v>
      </c>
      <c r="M18">
        <v>8</v>
      </c>
      <c r="N18">
        <v>3</v>
      </c>
      <c r="O18">
        <v>5</v>
      </c>
      <c r="P18">
        <v>38</v>
      </c>
      <c r="Q18">
        <v>2</v>
      </c>
      <c r="R18" t="str" cm="1">
        <f t="array" ref="R18">_xlfn.IFS(
    F18&lt;4016, "烂",
    F18&lt;=12047, "常规",
    F18&lt;=27085, "小爆",
    F18&lt;=139426, "爆款",
    F18&lt;=212613, "大爆款",
    F18&gt;=212614, "超大爆款"
)</f>
        <v>烂</v>
      </c>
    </row>
    <row r="19" spans="1:18" ht="16.5" hidden="1" x14ac:dyDescent="0.3">
      <c r="A19" s="5" t="s">
        <v>1051</v>
      </c>
      <c r="B19" s="4" t="s">
        <v>1038</v>
      </c>
      <c r="C19" t="s">
        <v>148</v>
      </c>
      <c r="D19" t="s">
        <v>18</v>
      </c>
      <c r="E19" t="s">
        <v>19</v>
      </c>
      <c r="F19">
        <v>1710</v>
      </c>
      <c r="G19">
        <v>1.0947E-2</v>
      </c>
      <c r="H19">
        <v>0.201791</v>
      </c>
      <c r="I19" t="s">
        <v>23</v>
      </c>
      <c r="J19">
        <v>0.56059700000000001</v>
      </c>
      <c r="K19">
        <v>7.8882279999999998</v>
      </c>
      <c r="L19">
        <v>32</v>
      </c>
      <c r="M19">
        <v>0</v>
      </c>
      <c r="N19">
        <v>1</v>
      </c>
      <c r="O19">
        <v>5</v>
      </c>
      <c r="P19">
        <v>33</v>
      </c>
      <c r="Q19">
        <v>1</v>
      </c>
      <c r="R19" t="str" cm="1">
        <f t="array" ref="R19">_xlfn.IFS(
    F19&lt;4016, "烂",
    F19&lt;=12047, "常规",
    F19&lt;=27085, "小爆",
    F19&lt;=139426, "爆款",
    F19&lt;=212613, "大爆款",
    F19&gt;=212614, "超大爆款"
)</f>
        <v>烂</v>
      </c>
    </row>
    <row r="20" spans="1:18" hidden="1" x14ac:dyDescent="0.3">
      <c r="A20" t="s">
        <v>156</v>
      </c>
      <c r="B20" s="4" t="s">
        <v>1037</v>
      </c>
      <c r="C20" t="s">
        <v>157</v>
      </c>
      <c r="D20" t="s">
        <v>18</v>
      </c>
      <c r="E20" t="s">
        <v>19</v>
      </c>
      <c r="F20">
        <v>2750</v>
      </c>
      <c r="G20">
        <v>1.7420000000000001E-2</v>
      </c>
      <c r="H20">
        <v>0.26511299999999999</v>
      </c>
      <c r="I20" t="s">
        <v>23</v>
      </c>
      <c r="J20">
        <v>0.47742200000000001</v>
      </c>
      <c r="K20">
        <v>8.5875769999999996</v>
      </c>
      <c r="L20">
        <v>49</v>
      </c>
      <c r="M20">
        <v>16</v>
      </c>
      <c r="N20">
        <v>1</v>
      </c>
      <c r="O20">
        <v>29</v>
      </c>
      <c r="P20">
        <v>79</v>
      </c>
      <c r="Q20">
        <v>2</v>
      </c>
      <c r="R20" t="str" cm="1">
        <f t="array" ref="R20">_xlfn.IFS(
    F20&lt;4016, "烂",
    F20&lt;=12047, "常规",
    F20&lt;=27085, "小爆",
    F20&lt;=139426, "爆款",
    F20&lt;=212613, "大爆款",
    F20&gt;=212614, "超大爆款"
)</f>
        <v>烂</v>
      </c>
    </row>
    <row r="21" spans="1:18" ht="16.5" hidden="1" x14ac:dyDescent="0.3">
      <c r="A21" s="5" t="s">
        <v>967</v>
      </c>
      <c r="B21" s="4" t="s">
        <v>1050</v>
      </c>
      <c r="C21" t="s">
        <v>167</v>
      </c>
      <c r="D21" t="s">
        <v>18</v>
      </c>
      <c r="E21" t="s">
        <v>19</v>
      </c>
      <c r="F21">
        <v>19943</v>
      </c>
      <c r="G21">
        <v>1.7349E-2</v>
      </c>
      <c r="H21">
        <v>0.295931</v>
      </c>
      <c r="I21" t="s">
        <v>23</v>
      </c>
      <c r="J21">
        <v>0.36717100000000003</v>
      </c>
      <c r="K21">
        <v>9.1309090000000008</v>
      </c>
      <c r="L21">
        <v>323</v>
      </c>
      <c r="M21">
        <v>211</v>
      </c>
      <c r="N21">
        <v>9</v>
      </c>
      <c r="O21">
        <v>275</v>
      </c>
      <c r="P21">
        <v>328</v>
      </c>
      <c r="Q21">
        <v>20</v>
      </c>
      <c r="R21" t="str" cm="1">
        <f t="array" ref="R21">_xlfn.IFS(
    F21&lt;4016, "烂",
    F21&lt;=12047, "常规",
    F21&lt;=27085, "小爆",
    F21&lt;=139426, "爆款",
    F21&lt;=212613, "大爆款",
    F21&gt;=212614, "超大爆款"
)</f>
        <v>小爆</v>
      </c>
    </row>
    <row r="22" spans="1:18" hidden="1" x14ac:dyDescent="0.3">
      <c r="A22" t="s">
        <v>177</v>
      </c>
      <c r="B22" s="10" t="s">
        <v>1054</v>
      </c>
      <c r="C22" t="s">
        <v>178</v>
      </c>
      <c r="D22" t="s">
        <v>95</v>
      </c>
      <c r="E22" t="s">
        <v>19</v>
      </c>
      <c r="F22">
        <v>2830</v>
      </c>
      <c r="G22">
        <v>1.2786E-2</v>
      </c>
      <c r="H22">
        <v>0.27391799999999999</v>
      </c>
      <c r="I22">
        <v>0.3</v>
      </c>
      <c r="J22">
        <v>0.48063800000000001</v>
      </c>
      <c r="K22">
        <v>15.04584</v>
      </c>
      <c r="L22">
        <v>107</v>
      </c>
      <c r="M22">
        <v>27</v>
      </c>
      <c r="N22">
        <v>44</v>
      </c>
      <c r="O22">
        <v>23</v>
      </c>
      <c r="P22">
        <v>95</v>
      </c>
      <c r="Q22">
        <v>4</v>
      </c>
      <c r="R22" s="9" t="s">
        <v>1096</v>
      </c>
    </row>
    <row r="23" spans="1:18" ht="16.5" x14ac:dyDescent="0.3">
      <c r="A23" s="5" t="s">
        <v>966</v>
      </c>
      <c r="B23" t="s">
        <v>1036</v>
      </c>
      <c r="C23" t="s">
        <v>197</v>
      </c>
      <c r="D23" t="s">
        <v>18</v>
      </c>
      <c r="E23" t="s">
        <v>19</v>
      </c>
      <c r="F23">
        <v>27108</v>
      </c>
      <c r="G23">
        <v>8.2850000000000007E-3</v>
      </c>
      <c r="H23">
        <v>0.49444199999999999</v>
      </c>
      <c r="I23" t="s">
        <v>23</v>
      </c>
      <c r="J23">
        <v>0.31418699999999999</v>
      </c>
      <c r="K23">
        <v>15.200627000000001</v>
      </c>
      <c r="L23">
        <v>594</v>
      </c>
      <c r="M23">
        <v>55</v>
      </c>
      <c r="N23">
        <v>53</v>
      </c>
      <c r="O23">
        <v>103</v>
      </c>
      <c r="P23">
        <v>772</v>
      </c>
      <c r="Q23">
        <v>18</v>
      </c>
      <c r="R23" t="str" cm="1">
        <f t="array" ref="R23">_xlfn.IFS(
    F23&lt;4016, "烂",
    F23&lt;=12047, "常规",
    F23&lt;=27085, "小爆",
    F23&lt;=139426, "爆款",
    F23&lt;=212613, "大爆款",
    F23&gt;=212614, "超大爆款"
)</f>
        <v>爆款</v>
      </c>
    </row>
    <row r="24" spans="1:18" hidden="1" x14ac:dyDescent="0.3">
      <c r="A24" t="s">
        <v>208</v>
      </c>
      <c r="B24" t="s">
        <v>1049</v>
      </c>
      <c r="C24" t="s">
        <v>209</v>
      </c>
      <c r="D24" t="s">
        <v>95</v>
      </c>
      <c r="E24" t="s">
        <v>19</v>
      </c>
      <c r="F24">
        <v>3967</v>
      </c>
      <c r="G24">
        <v>1.6566999999999998E-2</v>
      </c>
      <c r="H24">
        <v>0.34091700000000003</v>
      </c>
      <c r="I24">
        <v>0.63</v>
      </c>
      <c r="J24">
        <v>0.40492</v>
      </c>
      <c r="K24">
        <v>11.118572</v>
      </c>
      <c r="L24">
        <v>137</v>
      </c>
      <c r="M24">
        <v>8</v>
      </c>
      <c r="N24">
        <v>7</v>
      </c>
      <c r="O24">
        <v>36</v>
      </c>
      <c r="P24">
        <v>106</v>
      </c>
      <c r="Q24">
        <v>19</v>
      </c>
      <c r="R24" t="str" cm="1">
        <f t="array" ref="R24">_xlfn.IFS(
    F24&lt;4016, "烂",
    F24&lt;=12047, "常规",
    F24&lt;=27085, "小爆",
    F24&lt;=139426, "爆款",
    F24&lt;=212613, "大爆款",
    F24&gt;=212614, "超大爆款"
)</f>
        <v>烂</v>
      </c>
    </row>
    <row r="25" spans="1:18" hidden="1" x14ac:dyDescent="0.3">
      <c r="A25" t="s">
        <v>221</v>
      </c>
      <c r="B25" t="s">
        <v>1035</v>
      </c>
      <c r="C25" t="s">
        <v>222</v>
      </c>
      <c r="D25" t="s">
        <v>139</v>
      </c>
      <c r="E25" t="s">
        <v>19</v>
      </c>
      <c r="F25">
        <v>4215</v>
      </c>
      <c r="G25">
        <v>8.5210000000000008E-3</v>
      </c>
      <c r="H25">
        <v>0.28445100000000001</v>
      </c>
      <c r="I25">
        <v>0.22830400000000001</v>
      </c>
      <c r="J25">
        <v>0.36499100000000001</v>
      </c>
      <c r="K25">
        <v>15.358007000000001</v>
      </c>
      <c r="L25">
        <v>187</v>
      </c>
      <c r="M25">
        <v>3</v>
      </c>
      <c r="N25">
        <v>6</v>
      </c>
      <c r="O25">
        <v>106</v>
      </c>
      <c r="P25">
        <v>98</v>
      </c>
      <c r="Q25">
        <v>17</v>
      </c>
      <c r="R25" t="str" cm="1">
        <f t="array" ref="R25">_xlfn.IFS(
    F25&lt;4016, "烂",
    F25&lt;=12047, "常规",
    F25&lt;=27085, "小爆",
    F25&lt;=139426, "爆款",
    F25&lt;=212613, "大爆款",
    F25&gt;=212614, "超大爆款"
)</f>
        <v>常规</v>
      </c>
    </row>
    <row r="26" spans="1:18" hidden="1" x14ac:dyDescent="0.3">
      <c r="A26" t="s">
        <v>232</v>
      </c>
      <c r="B26" t="s">
        <v>1034</v>
      </c>
      <c r="C26" t="s">
        <v>233</v>
      </c>
      <c r="D26" t="s">
        <v>95</v>
      </c>
      <c r="E26" t="s">
        <v>19</v>
      </c>
      <c r="F26">
        <v>2474</v>
      </c>
      <c r="G26">
        <v>1.0267999999999999E-2</v>
      </c>
      <c r="H26">
        <v>0.25556899999999999</v>
      </c>
      <c r="I26">
        <v>0.24693499999999999</v>
      </c>
      <c r="J26">
        <v>0.43415399999999998</v>
      </c>
      <c r="K26">
        <v>9.7245019999999993</v>
      </c>
      <c r="L26">
        <v>64</v>
      </c>
      <c r="M26">
        <v>5</v>
      </c>
      <c r="N26">
        <v>4</v>
      </c>
      <c r="O26">
        <v>21</v>
      </c>
      <c r="P26">
        <v>52</v>
      </c>
      <c r="Q26">
        <v>2</v>
      </c>
      <c r="R26" t="str" cm="1">
        <f t="array" ref="R26">_xlfn.IFS(
    F26&lt;4016, "烂",
    F26&lt;=12047, "常规",
    F26&lt;=27085, "小爆",
    F26&lt;=139426, "爆款",
    F26&lt;=212613, "大爆款",
    F26&gt;=212614, "超大爆款"
)</f>
        <v>烂</v>
      </c>
    </row>
    <row r="27" spans="1:18" hidden="1" x14ac:dyDescent="0.3">
      <c r="A27" t="s">
        <v>242</v>
      </c>
      <c r="B27" t="s">
        <v>1033</v>
      </c>
      <c r="C27" t="s">
        <v>243</v>
      </c>
      <c r="D27" t="s">
        <v>139</v>
      </c>
      <c r="E27" t="s">
        <v>19</v>
      </c>
      <c r="F27">
        <v>8575</v>
      </c>
      <c r="G27">
        <v>5.1359999999999999E-3</v>
      </c>
      <c r="H27">
        <v>0.19606999999999999</v>
      </c>
      <c r="I27">
        <v>0.24590200000000001</v>
      </c>
      <c r="J27">
        <v>0.49651699999999999</v>
      </c>
      <c r="K27">
        <v>9.3803929999999998</v>
      </c>
      <c r="L27">
        <v>169</v>
      </c>
      <c r="M27">
        <v>104</v>
      </c>
      <c r="N27">
        <v>1</v>
      </c>
      <c r="O27">
        <v>90</v>
      </c>
      <c r="P27">
        <v>65</v>
      </c>
      <c r="Q27">
        <v>8</v>
      </c>
      <c r="R27" t="str" cm="1">
        <f t="array" ref="R27">_xlfn.IFS(
    F27&lt;4016, "烂",
    F27&lt;=12047, "常规",
    F27&lt;=27085, "小爆",
    F27&lt;=139426, "爆款",
    F27&lt;=212613, "大爆款",
    F27&gt;=212614, "超大爆款"
)</f>
        <v>常规</v>
      </c>
    </row>
    <row r="28" spans="1:18" hidden="1" x14ac:dyDescent="0.3">
      <c r="A28" t="s">
        <v>254</v>
      </c>
      <c r="B28" t="s">
        <v>980</v>
      </c>
      <c r="C28" t="s">
        <v>255</v>
      </c>
      <c r="D28" t="s">
        <v>95</v>
      </c>
      <c r="E28" t="s">
        <v>19</v>
      </c>
      <c r="F28">
        <v>2728</v>
      </c>
      <c r="G28">
        <v>1.2888E-2</v>
      </c>
      <c r="H28">
        <v>0.167154</v>
      </c>
      <c r="I28">
        <v>0.10989</v>
      </c>
      <c r="J28">
        <v>0.57315300000000002</v>
      </c>
      <c r="K28">
        <v>10.016458999999999</v>
      </c>
      <c r="L28">
        <v>50</v>
      </c>
      <c r="M28">
        <v>18</v>
      </c>
      <c r="N28">
        <v>0</v>
      </c>
      <c r="O28">
        <v>28</v>
      </c>
      <c r="P28">
        <v>46</v>
      </c>
      <c r="Q28">
        <v>4</v>
      </c>
      <c r="R28" t="str" cm="1">
        <f t="array" ref="R28">_xlfn.IFS(
    F28&lt;4016, "烂",
    F28&lt;=12047, "常规",
    F28&lt;=27085, "小爆",
    F28&lt;=139426, "爆款",
    F28&lt;=212613, "大爆款",
    F28&gt;=212614, "超大爆款"
)</f>
        <v>烂</v>
      </c>
    </row>
    <row r="29" spans="1:18" hidden="1" x14ac:dyDescent="0.3">
      <c r="A29" t="s">
        <v>264</v>
      </c>
      <c r="B29" t="s">
        <v>981</v>
      </c>
      <c r="C29" t="s">
        <v>265</v>
      </c>
      <c r="D29" t="s">
        <v>95</v>
      </c>
      <c r="E29" t="s">
        <v>19</v>
      </c>
      <c r="F29">
        <v>2768</v>
      </c>
      <c r="G29">
        <v>2.2838000000000001E-2</v>
      </c>
      <c r="H29">
        <v>0.25645200000000001</v>
      </c>
      <c r="I29">
        <v>9.1521000000000005E-2</v>
      </c>
      <c r="J29">
        <v>0.49918299999999999</v>
      </c>
      <c r="K29">
        <v>11.307743</v>
      </c>
      <c r="L29">
        <v>82</v>
      </c>
      <c r="M29">
        <v>11</v>
      </c>
      <c r="N29">
        <v>3</v>
      </c>
      <c r="O29">
        <v>44</v>
      </c>
      <c r="P29">
        <v>58</v>
      </c>
      <c r="Q29">
        <v>8</v>
      </c>
      <c r="R29" t="str" cm="1">
        <f t="array" ref="R29">_xlfn.IFS(
    F29&lt;4016, "烂",
    F29&lt;=12047, "常规",
    F29&lt;=27085, "小爆",
    F29&lt;=139426, "爆款",
    F29&lt;=212613, "大爆款",
    F29&gt;=212614, "超大爆款"
)</f>
        <v>烂</v>
      </c>
    </row>
    <row r="30" spans="1:18" hidden="1" x14ac:dyDescent="0.3">
      <c r="A30" t="s">
        <v>275</v>
      </c>
      <c r="B30" t="s">
        <v>982</v>
      </c>
      <c r="C30" t="s">
        <v>276</v>
      </c>
      <c r="D30" t="s">
        <v>18</v>
      </c>
      <c r="E30" t="s">
        <v>19</v>
      </c>
      <c r="F30">
        <v>1592</v>
      </c>
      <c r="G30">
        <v>1.2024E-2</v>
      </c>
      <c r="H30">
        <v>0.27167999999999998</v>
      </c>
      <c r="I30" t="s">
        <v>23</v>
      </c>
      <c r="J30">
        <v>0.382656</v>
      </c>
      <c r="K30">
        <v>9.1437229999999996</v>
      </c>
      <c r="L30">
        <v>27</v>
      </c>
      <c r="M30">
        <v>1</v>
      </c>
      <c r="N30">
        <v>1</v>
      </c>
      <c r="O30">
        <v>4</v>
      </c>
      <c r="P30">
        <v>46</v>
      </c>
      <c r="Q30">
        <v>2</v>
      </c>
      <c r="R30" t="str" cm="1">
        <f t="array" ref="R30">_xlfn.IFS(
    F30&lt;4016, "烂",
    F30&lt;=12047, "常规",
    F30&lt;=27085, "小爆",
    F30&lt;=139426, "爆款",
    F30&lt;=212613, "大爆款",
    F30&gt;=212614, "超大爆款"
)</f>
        <v>烂</v>
      </c>
    </row>
    <row r="31" spans="1:18" hidden="1" x14ac:dyDescent="0.3">
      <c r="A31" t="s">
        <v>282</v>
      </c>
      <c r="B31" t="s">
        <v>983</v>
      </c>
      <c r="C31" t="s">
        <v>283</v>
      </c>
      <c r="D31" t="s">
        <v>18</v>
      </c>
      <c r="E31" t="s">
        <v>19</v>
      </c>
      <c r="F31">
        <v>3362</v>
      </c>
      <c r="G31">
        <v>1.5904999999999999E-2</v>
      </c>
      <c r="H31">
        <v>0.24701300000000001</v>
      </c>
      <c r="I31" t="s">
        <v>23</v>
      </c>
      <c r="J31">
        <v>0.43428899999999998</v>
      </c>
      <c r="K31">
        <v>10.095281</v>
      </c>
      <c r="L31">
        <v>135</v>
      </c>
      <c r="M31">
        <v>8</v>
      </c>
      <c r="N31">
        <v>7</v>
      </c>
      <c r="O31">
        <v>54</v>
      </c>
      <c r="P31">
        <v>64</v>
      </c>
      <c r="Q31">
        <v>4</v>
      </c>
      <c r="R31" t="str" cm="1">
        <f t="array" ref="R31">_xlfn.IFS(
    F31&lt;4016, "烂",
    F31&lt;=12047, "常规",
    F31&lt;=27085, "小爆",
    F31&lt;=139426, "爆款",
    F31&lt;=212613, "大爆款",
    F31&gt;=212614, "超大爆款"
)</f>
        <v>烂</v>
      </c>
    </row>
    <row r="32" spans="1:18" hidden="1" x14ac:dyDescent="0.3">
      <c r="A32" t="s">
        <v>291</v>
      </c>
      <c r="B32" t="s">
        <v>984</v>
      </c>
      <c r="C32" t="s">
        <v>292</v>
      </c>
      <c r="D32" t="s">
        <v>18</v>
      </c>
      <c r="E32" t="s">
        <v>19</v>
      </c>
      <c r="F32">
        <v>3043</v>
      </c>
      <c r="G32">
        <v>1.3180000000000001E-2</v>
      </c>
      <c r="H32">
        <v>0.210369</v>
      </c>
      <c r="I32" t="s">
        <v>23</v>
      </c>
      <c r="J32">
        <v>0.47587699999999999</v>
      </c>
      <c r="K32">
        <v>10.362002</v>
      </c>
      <c r="L32">
        <v>67</v>
      </c>
      <c r="M32">
        <v>10</v>
      </c>
      <c r="N32">
        <v>0</v>
      </c>
      <c r="O32">
        <v>32</v>
      </c>
      <c r="P32">
        <v>48</v>
      </c>
      <c r="Q32">
        <v>4</v>
      </c>
      <c r="R32" t="str" cm="1">
        <f t="array" ref="R32">_xlfn.IFS(
    F32&lt;4016, "烂",
    F32&lt;=12047, "常规",
    F32&lt;=27085, "小爆",
    F32&lt;=139426, "爆款",
    F32&lt;=212613, "大爆款",
    F32&gt;=212614, "超大爆款"
)</f>
        <v>烂</v>
      </c>
    </row>
    <row r="33" spans="1:18" ht="13.5" customHeight="1" x14ac:dyDescent="0.3">
      <c r="A33" s="5" t="s">
        <v>965</v>
      </c>
      <c r="B33" t="s">
        <v>985</v>
      </c>
      <c r="C33" t="s">
        <v>302</v>
      </c>
      <c r="D33" t="s">
        <v>95</v>
      </c>
      <c r="E33" t="s">
        <v>19</v>
      </c>
      <c r="F33">
        <v>347468</v>
      </c>
      <c r="G33">
        <v>2.5174999999999999E-2</v>
      </c>
      <c r="H33">
        <v>0.55424499999999999</v>
      </c>
      <c r="I33">
        <v>0.118768</v>
      </c>
      <c r="J33">
        <v>0.27236300000000002</v>
      </c>
      <c r="K33">
        <v>30.613904999999999</v>
      </c>
      <c r="L33">
        <v>7006</v>
      </c>
      <c r="M33">
        <v>939</v>
      </c>
      <c r="N33">
        <v>213</v>
      </c>
      <c r="O33">
        <v>1840</v>
      </c>
      <c r="P33">
        <v>3444</v>
      </c>
      <c r="Q33">
        <v>338</v>
      </c>
      <c r="R33" t="str" cm="1">
        <f t="array" ref="R33">_xlfn.IFS(
    F33&lt;4016, "烂",
    F33&lt;=12047, "常规",
    F33&lt;=27085, "小爆",
    F33&lt;=139426, "爆款",
    F33&lt;=212613, "大爆款",
    F33&gt;=212614, "超大爆款"
)</f>
        <v>超大爆款</v>
      </c>
    </row>
    <row r="34" spans="1:18" hidden="1" x14ac:dyDescent="0.3">
      <c r="A34" t="s">
        <v>315</v>
      </c>
      <c r="B34" t="s">
        <v>986</v>
      </c>
      <c r="C34" t="s">
        <v>316</v>
      </c>
      <c r="D34" t="s">
        <v>95</v>
      </c>
      <c r="E34" t="s">
        <v>19</v>
      </c>
      <c r="F34">
        <v>5316</v>
      </c>
      <c r="G34">
        <v>1.3773000000000001E-2</v>
      </c>
      <c r="H34">
        <v>0.225051</v>
      </c>
      <c r="I34">
        <v>8.5612999999999995E-2</v>
      </c>
      <c r="J34">
        <v>0.45478400000000002</v>
      </c>
      <c r="K34">
        <v>12.000187</v>
      </c>
      <c r="L34">
        <v>187</v>
      </c>
      <c r="M34">
        <v>15</v>
      </c>
      <c r="N34">
        <v>1</v>
      </c>
      <c r="O34">
        <v>81</v>
      </c>
      <c r="P34">
        <v>122</v>
      </c>
      <c r="Q34">
        <v>16</v>
      </c>
      <c r="R34" t="str" cm="1">
        <f t="array" ref="R34">_xlfn.IFS(
    F34&lt;4016, "烂",
    F34&lt;=12047, "常规",
    F34&lt;=27085, "小爆",
    F34&lt;=139426, "爆款",
    F34&lt;=212613, "大爆款",
    F34&gt;=212614, "超大爆款"
)</f>
        <v>常规</v>
      </c>
    </row>
    <row r="35" spans="1:18" hidden="1" x14ac:dyDescent="0.3">
      <c r="A35" t="s">
        <v>326</v>
      </c>
      <c r="B35" t="s">
        <v>987</v>
      </c>
      <c r="C35" t="s">
        <v>327</v>
      </c>
      <c r="D35" t="s">
        <v>18</v>
      </c>
      <c r="E35" t="s">
        <v>19</v>
      </c>
      <c r="F35">
        <v>2863</v>
      </c>
      <c r="G35">
        <v>1.6614E-2</v>
      </c>
      <c r="H35">
        <v>0.244367</v>
      </c>
      <c r="I35" t="s">
        <v>23</v>
      </c>
      <c r="J35">
        <v>0.49539800000000001</v>
      </c>
      <c r="K35">
        <v>9.4890509999999999</v>
      </c>
      <c r="L35">
        <v>74</v>
      </c>
      <c r="M35">
        <v>7</v>
      </c>
      <c r="N35">
        <v>2</v>
      </c>
      <c r="O35">
        <v>30</v>
      </c>
      <c r="P35">
        <v>57</v>
      </c>
      <c r="Q35">
        <v>3</v>
      </c>
      <c r="R35" t="str" cm="1">
        <f t="array" ref="R35">_xlfn.IFS(
    F35&lt;4016, "烂",
    F35&lt;=12047, "常规",
    F35&lt;=27085, "小爆",
    F35&lt;=139426, "爆款",
    F35&lt;=212613, "大爆款",
    F35&gt;=212614, "超大爆款"
)</f>
        <v>烂</v>
      </c>
    </row>
    <row r="36" spans="1:18" hidden="1" x14ac:dyDescent="0.3">
      <c r="A36" t="s">
        <v>335</v>
      </c>
      <c r="B36" t="s">
        <v>988</v>
      </c>
      <c r="C36" t="s">
        <v>336</v>
      </c>
      <c r="D36" t="s">
        <v>18</v>
      </c>
      <c r="E36" t="s">
        <v>19</v>
      </c>
      <c r="F36">
        <v>5553</v>
      </c>
      <c r="G36">
        <v>1.9231000000000002E-2</v>
      </c>
      <c r="H36">
        <v>0.28773199999999999</v>
      </c>
      <c r="I36" t="s">
        <v>23</v>
      </c>
      <c r="J36">
        <v>0.36383599999999999</v>
      </c>
      <c r="K36">
        <v>9.1485420000000008</v>
      </c>
      <c r="L36">
        <v>158</v>
      </c>
      <c r="M36">
        <v>8</v>
      </c>
      <c r="N36">
        <v>5</v>
      </c>
      <c r="O36">
        <v>45</v>
      </c>
      <c r="P36">
        <v>89</v>
      </c>
      <c r="Q36">
        <v>8</v>
      </c>
      <c r="R36" t="str" cm="1">
        <f t="array" ref="R36">_xlfn.IFS(
    F36&lt;4016, "烂",
    F36&lt;=12047, "常规",
    F36&lt;=27085, "小爆",
    F36&lt;=139426, "爆款",
    F36&lt;=212613, "大爆款",
    F36&gt;=212614, "超大爆款"
)</f>
        <v>常规</v>
      </c>
    </row>
    <row r="37" spans="1:18" hidden="1" x14ac:dyDescent="0.3">
      <c r="A37" t="s">
        <v>344</v>
      </c>
      <c r="B37" t="s">
        <v>989</v>
      </c>
      <c r="C37" t="s">
        <v>345</v>
      </c>
      <c r="D37" t="s">
        <v>18</v>
      </c>
      <c r="E37" t="s">
        <v>19</v>
      </c>
      <c r="F37">
        <v>27019</v>
      </c>
      <c r="G37">
        <v>2.6262000000000001E-2</v>
      </c>
      <c r="H37">
        <v>0.34535700000000003</v>
      </c>
      <c r="I37" t="s">
        <v>23</v>
      </c>
      <c r="J37">
        <v>0.35932999999999998</v>
      </c>
      <c r="K37">
        <v>15.952073</v>
      </c>
      <c r="L37">
        <v>1025</v>
      </c>
      <c r="M37">
        <v>50</v>
      </c>
      <c r="N37">
        <v>14</v>
      </c>
      <c r="O37">
        <v>629</v>
      </c>
      <c r="P37">
        <v>520</v>
      </c>
      <c r="Q37">
        <v>74</v>
      </c>
      <c r="R37" t="str" cm="1">
        <f t="array" ref="R37">_xlfn.IFS(
    F37&lt;4016, "烂",
    F37&lt;=12047, "常规",
    F37&lt;=27085, "小爆",
    F37&lt;=139426, "爆款",
    F37&lt;=212613, "大爆款",
    F37&gt;=212614, "超大爆款"
)</f>
        <v>小爆</v>
      </c>
    </row>
    <row r="38" spans="1:18" hidden="1" x14ac:dyDescent="0.3">
      <c r="A38" t="s">
        <v>354</v>
      </c>
      <c r="B38" t="s">
        <v>1032</v>
      </c>
      <c r="C38" t="s">
        <v>355</v>
      </c>
      <c r="D38" t="s">
        <v>18</v>
      </c>
      <c r="E38" t="s">
        <v>19</v>
      </c>
      <c r="F38">
        <v>10259</v>
      </c>
      <c r="G38">
        <v>1.6756E-2</v>
      </c>
      <c r="H38">
        <v>0.317471</v>
      </c>
      <c r="I38" t="s">
        <v>23</v>
      </c>
      <c r="J38">
        <v>0.39124999999999999</v>
      </c>
      <c r="K38">
        <v>10.704883000000001</v>
      </c>
      <c r="L38">
        <v>419</v>
      </c>
      <c r="M38">
        <v>68</v>
      </c>
      <c r="N38">
        <v>10</v>
      </c>
      <c r="O38">
        <v>271</v>
      </c>
      <c r="P38">
        <v>193</v>
      </c>
      <c r="Q38">
        <v>32</v>
      </c>
      <c r="R38" t="str" cm="1">
        <f t="array" ref="R38">_xlfn.IFS(
    F38&lt;4016, "烂",
    F38&lt;=12047, "常规",
    F38&lt;=27085, "小爆",
    F38&lt;=139426, "爆款",
    F38&lt;=212613, "大爆款",
    F38&gt;=212614, "超大爆款"
)</f>
        <v>常规</v>
      </c>
    </row>
    <row r="39" spans="1:18" ht="49.5" x14ac:dyDescent="0.3">
      <c r="A39" s="13" t="s">
        <v>1120</v>
      </c>
      <c r="B39" t="s">
        <v>1031</v>
      </c>
      <c r="C39" t="s">
        <v>366</v>
      </c>
      <c r="D39" t="s">
        <v>18</v>
      </c>
      <c r="E39" t="s">
        <v>19</v>
      </c>
      <c r="F39">
        <v>140631</v>
      </c>
      <c r="G39">
        <v>3.1831999999999999E-2</v>
      </c>
      <c r="H39">
        <v>0.42502699999999999</v>
      </c>
      <c r="I39" t="s">
        <v>23</v>
      </c>
      <c r="J39">
        <v>0.29771199999999998</v>
      </c>
      <c r="K39">
        <v>13.724455000000001</v>
      </c>
      <c r="L39">
        <v>6085</v>
      </c>
      <c r="M39">
        <v>538</v>
      </c>
      <c r="N39">
        <v>49</v>
      </c>
      <c r="O39">
        <v>4150</v>
      </c>
      <c r="P39">
        <v>2644</v>
      </c>
      <c r="Q39">
        <v>279</v>
      </c>
      <c r="R39" t="str" cm="1">
        <f t="array" ref="R39">_xlfn.IFS(
    F39&lt;4016, "烂",
    F39&lt;=12047, "常规",
    F39&lt;=27085, "小爆",
    F39&lt;=139426, "爆款",
    F39&lt;=212613, "大爆款",
    F39&gt;=212614, "超大爆款"
)</f>
        <v>大爆款</v>
      </c>
    </row>
    <row r="40" spans="1:18" x14ac:dyDescent="0.3">
      <c r="A40" t="s">
        <v>377</v>
      </c>
      <c r="B40" t="s">
        <v>1030</v>
      </c>
      <c r="C40" t="s">
        <v>378</v>
      </c>
      <c r="D40" t="s">
        <v>18</v>
      </c>
      <c r="E40" t="s">
        <v>19</v>
      </c>
      <c r="F40">
        <v>177153</v>
      </c>
      <c r="G40">
        <v>4.1174000000000002E-2</v>
      </c>
      <c r="H40">
        <v>0.40659400000000001</v>
      </c>
      <c r="I40" t="s">
        <v>23</v>
      </c>
      <c r="J40">
        <v>0.33826299999999998</v>
      </c>
      <c r="K40">
        <v>23.681467000000001</v>
      </c>
      <c r="L40">
        <v>5402</v>
      </c>
      <c r="M40">
        <v>1327</v>
      </c>
      <c r="N40">
        <v>142</v>
      </c>
      <c r="O40">
        <v>5820</v>
      </c>
      <c r="P40">
        <v>3986</v>
      </c>
      <c r="Q40">
        <v>995</v>
      </c>
      <c r="R40" t="str" cm="1">
        <f t="array" ref="R40">_xlfn.IFS(
    F40&lt;4016, "烂",
    F40&lt;=12047, "常规",
    F40&lt;=27085, "小爆",
    F40&lt;=139426, "爆款",
    F40&lt;=212613, "大爆款",
    F40&gt;=212614, "超大爆款"
)</f>
        <v>大爆款</v>
      </c>
    </row>
    <row r="41" spans="1:18" x14ac:dyDescent="0.3">
      <c r="A41" t="s">
        <v>390</v>
      </c>
      <c r="B41" t="s">
        <v>990</v>
      </c>
      <c r="C41" t="s">
        <v>391</v>
      </c>
      <c r="D41" t="s">
        <v>18</v>
      </c>
      <c r="E41" t="s">
        <v>19</v>
      </c>
      <c r="F41">
        <v>127407</v>
      </c>
      <c r="G41">
        <v>3.3579999999999999E-2</v>
      </c>
      <c r="H41">
        <v>0.34669800000000001</v>
      </c>
      <c r="I41" t="s">
        <v>23</v>
      </c>
      <c r="J41">
        <v>0.316689</v>
      </c>
      <c r="K41">
        <v>12.125904999999999</v>
      </c>
      <c r="L41">
        <v>6517</v>
      </c>
      <c r="M41">
        <v>737</v>
      </c>
      <c r="N41">
        <v>62</v>
      </c>
      <c r="O41">
        <v>4447</v>
      </c>
      <c r="P41">
        <v>1145</v>
      </c>
      <c r="Q41">
        <v>260</v>
      </c>
      <c r="R41" t="str" cm="1">
        <f t="array" ref="R41">_xlfn.IFS(
    F41&lt;4016, "烂",
    F41&lt;=12047, "常规",
    F41&lt;=27085, "小爆",
    F41&lt;=139426, "爆款",
    F41&lt;=212613, "大爆款",
    F41&gt;=212614, "超大爆款"
)</f>
        <v>爆款</v>
      </c>
    </row>
    <row r="42" spans="1:18" x14ac:dyDescent="0.3">
      <c r="A42" t="s">
        <v>403</v>
      </c>
      <c r="B42" t="s">
        <v>1029</v>
      </c>
      <c r="C42" t="s">
        <v>404</v>
      </c>
      <c r="D42" t="s">
        <v>18</v>
      </c>
      <c r="E42" t="s">
        <v>19</v>
      </c>
      <c r="F42">
        <v>33008</v>
      </c>
      <c r="G42">
        <v>3.3397999999999997E-2</v>
      </c>
      <c r="H42">
        <v>0.38791700000000001</v>
      </c>
      <c r="I42" t="s">
        <v>23</v>
      </c>
      <c r="J42">
        <v>0.40103299999999997</v>
      </c>
      <c r="K42">
        <v>15.977982000000001</v>
      </c>
      <c r="L42">
        <v>1096</v>
      </c>
      <c r="M42">
        <v>106</v>
      </c>
      <c r="N42">
        <v>38</v>
      </c>
      <c r="O42">
        <v>636</v>
      </c>
      <c r="P42">
        <v>720</v>
      </c>
      <c r="Q42">
        <v>75</v>
      </c>
      <c r="R42" t="str" cm="1">
        <f t="array" ref="R42">_xlfn.IFS(
    F42&lt;4016, "烂",
    F42&lt;=12047, "常规",
    F42&lt;=27085, "小爆",
    F42&lt;=139426, "爆款",
    F42&lt;=212613, "大爆款",
    F42&gt;=212614, "超大爆款"
)</f>
        <v>爆款</v>
      </c>
    </row>
    <row r="43" spans="1:18" hidden="1" x14ac:dyDescent="0.3">
      <c r="A43" t="s">
        <v>414</v>
      </c>
      <c r="B43" t="s">
        <v>1028</v>
      </c>
      <c r="C43" t="s">
        <v>415</v>
      </c>
      <c r="D43" t="s">
        <v>18</v>
      </c>
      <c r="E43" t="s">
        <v>19</v>
      </c>
      <c r="F43">
        <v>4814</v>
      </c>
      <c r="G43">
        <v>2.5201000000000001E-2</v>
      </c>
      <c r="H43">
        <v>0.24764</v>
      </c>
      <c r="I43" t="s">
        <v>23</v>
      </c>
      <c r="J43">
        <v>0.40361900000000001</v>
      </c>
      <c r="K43">
        <v>7.4280090000000003</v>
      </c>
      <c r="L43">
        <v>116</v>
      </c>
      <c r="M43">
        <v>7</v>
      </c>
      <c r="N43">
        <v>3</v>
      </c>
      <c r="O43">
        <v>54</v>
      </c>
      <c r="P43">
        <v>45</v>
      </c>
      <c r="Q43">
        <v>12</v>
      </c>
      <c r="R43" t="str" cm="1">
        <f t="array" ref="R43">_xlfn.IFS(
    F43&lt;4016, "烂",
    F43&lt;=12047, "常规",
    F43&lt;=27085, "小爆",
    F43&lt;=139426, "爆款",
    F43&lt;=212613, "大爆款",
    F43&gt;=212614, "超大爆款"
)</f>
        <v>常规</v>
      </c>
    </row>
    <row r="44" spans="1:18" hidden="1" x14ac:dyDescent="0.3">
      <c r="A44" t="s">
        <v>421</v>
      </c>
      <c r="B44" t="s">
        <v>1027</v>
      </c>
      <c r="C44" t="s">
        <v>422</v>
      </c>
      <c r="D44" t="s">
        <v>139</v>
      </c>
      <c r="E44" t="s">
        <v>19</v>
      </c>
      <c r="F44">
        <v>5309</v>
      </c>
      <c r="G44">
        <v>8.1110000000000002E-3</v>
      </c>
      <c r="H44">
        <v>0.249778</v>
      </c>
      <c r="I44">
        <v>7.0488999999999996E-2</v>
      </c>
      <c r="J44">
        <v>0.41872399999999999</v>
      </c>
      <c r="K44">
        <v>9.1248889999999996</v>
      </c>
      <c r="L44">
        <v>75</v>
      </c>
      <c r="M44">
        <v>2</v>
      </c>
      <c r="N44">
        <v>4</v>
      </c>
      <c r="O44">
        <v>24</v>
      </c>
      <c r="P44">
        <v>177</v>
      </c>
      <c r="Q44">
        <v>22</v>
      </c>
      <c r="R44" t="str" cm="1">
        <f t="array" ref="R44">_xlfn.IFS(
    F44&lt;4016, "烂",
    F44&lt;=12047, "常规",
    F44&lt;=27085, "小爆",
    F44&lt;=139426, "爆款",
    F44&lt;=212613, "大爆款",
    F44&gt;=212614, "超大爆款"
)</f>
        <v>常规</v>
      </c>
    </row>
    <row r="45" spans="1:18" x14ac:dyDescent="0.3">
      <c r="A45" t="s">
        <v>430</v>
      </c>
      <c r="B45" t="s">
        <v>991</v>
      </c>
      <c r="C45" t="s">
        <v>431</v>
      </c>
      <c r="D45" t="s">
        <v>18</v>
      </c>
      <c r="E45" t="s">
        <v>19</v>
      </c>
      <c r="F45">
        <v>48336</v>
      </c>
      <c r="G45">
        <v>2.7451E-2</v>
      </c>
      <c r="H45">
        <v>0.38253599999999999</v>
      </c>
      <c r="I45" t="s">
        <v>23</v>
      </c>
      <c r="J45">
        <v>0.37901200000000002</v>
      </c>
      <c r="K45">
        <v>13.643222</v>
      </c>
      <c r="L45">
        <v>1378</v>
      </c>
      <c r="M45">
        <v>76</v>
      </c>
      <c r="N45">
        <v>86</v>
      </c>
      <c r="O45">
        <v>754</v>
      </c>
      <c r="P45">
        <v>923</v>
      </c>
      <c r="Q45">
        <v>171</v>
      </c>
      <c r="R45" t="str" cm="1">
        <f t="array" ref="R45">_xlfn.IFS(
    F45&lt;4016, "烂",
    F45&lt;=12047, "常规",
    F45&lt;=27085, "小爆",
    F45&lt;=139426, "爆款",
    F45&lt;=212613, "大爆款",
    F45&gt;=212614, "超大爆款"
)</f>
        <v>爆款</v>
      </c>
    </row>
    <row r="46" spans="1:18" x14ac:dyDescent="0.3">
      <c r="A46" t="s">
        <v>443</v>
      </c>
      <c r="B46" t="s">
        <v>992</v>
      </c>
      <c r="C46" t="s">
        <v>444</v>
      </c>
      <c r="D46" t="s">
        <v>18</v>
      </c>
      <c r="E46" t="s">
        <v>19</v>
      </c>
      <c r="F46">
        <v>85823</v>
      </c>
      <c r="G46">
        <v>1.1694E-2</v>
      </c>
      <c r="H46">
        <v>0.29704399999999997</v>
      </c>
      <c r="I46" t="s">
        <v>23</v>
      </c>
      <c r="J46">
        <v>0.40506999999999999</v>
      </c>
      <c r="K46">
        <v>10.215767</v>
      </c>
      <c r="L46">
        <v>4588</v>
      </c>
      <c r="M46">
        <v>247</v>
      </c>
      <c r="N46">
        <v>21</v>
      </c>
      <c r="O46">
        <v>4128</v>
      </c>
      <c r="P46">
        <v>1923</v>
      </c>
      <c r="Q46">
        <v>345</v>
      </c>
      <c r="R46" t="str" cm="1">
        <f t="array" ref="R46">_xlfn.IFS(
    F46&lt;4016, "烂",
    F46&lt;=12047, "常规",
    F46&lt;=27085, "小爆",
    F46&lt;=139426, "爆款",
    F46&lt;=212613, "大爆款",
    F46&gt;=212614, "超大爆款"
)</f>
        <v>爆款</v>
      </c>
    </row>
    <row r="47" spans="1:18" x14ac:dyDescent="0.3">
      <c r="A47" t="s">
        <v>455</v>
      </c>
      <c r="B47" t="s">
        <v>993</v>
      </c>
      <c r="C47" t="s">
        <v>456</v>
      </c>
      <c r="D47" t="s">
        <v>18</v>
      </c>
      <c r="E47" t="s">
        <v>19</v>
      </c>
      <c r="F47">
        <v>334879</v>
      </c>
      <c r="G47">
        <v>2.4398E-2</v>
      </c>
      <c r="H47">
        <v>0.37848599999999999</v>
      </c>
      <c r="I47" t="s">
        <v>23</v>
      </c>
      <c r="J47">
        <v>0.38551200000000002</v>
      </c>
      <c r="K47">
        <v>12.617556</v>
      </c>
      <c r="L47">
        <v>19411</v>
      </c>
      <c r="M47">
        <v>1277</v>
      </c>
      <c r="N47">
        <v>132</v>
      </c>
      <c r="O47">
        <v>9479</v>
      </c>
      <c r="P47">
        <v>3924</v>
      </c>
      <c r="Q47">
        <v>830</v>
      </c>
      <c r="R47" t="str" cm="1">
        <f t="array" ref="R47">_xlfn.IFS(
    F47&lt;4016, "烂",
    F47&lt;=12047, "常规",
    F47&lt;=27085, "小爆",
    F47&lt;=139426, "爆款",
    F47&lt;=212613, "大爆款",
    F47&gt;=212614, "超大爆款"
)</f>
        <v>超大爆款</v>
      </c>
    </row>
    <row r="48" spans="1:18" x14ac:dyDescent="0.3">
      <c r="A48" t="s">
        <v>468</v>
      </c>
      <c r="B48" t="s">
        <v>994</v>
      </c>
      <c r="C48" t="s">
        <v>469</v>
      </c>
      <c r="D48" t="s">
        <v>470</v>
      </c>
      <c r="E48" t="s">
        <v>19</v>
      </c>
      <c r="F48">
        <v>210781</v>
      </c>
      <c r="G48">
        <v>4.7086000000000003E-2</v>
      </c>
      <c r="H48">
        <v>0.307311</v>
      </c>
      <c r="I48" t="s">
        <v>23</v>
      </c>
      <c r="J48">
        <v>0.35873100000000002</v>
      </c>
      <c r="K48">
        <v>9.5167339999999996</v>
      </c>
      <c r="L48">
        <v>5751</v>
      </c>
      <c r="M48">
        <v>595</v>
      </c>
      <c r="N48">
        <v>129</v>
      </c>
      <c r="O48">
        <v>4904</v>
      </c>
      <c r="P48">
        <v>1327</v>
      </c>
      <c r="Q48">
        <v>355</v>
      </c>
      <c r="R48" t="str" cm="1">
        <f t="array" ref="R48">_xlfn.IFS(
    F48&lt;4016, "烂",
    F48&lt;=12047, "常规",
    F48&lt;=27085, "小爆",
    F48&lt;=139426, "爆款",
    F48&lt;=212613, "大爆款",
    F48&gt;=212614, "超大爆款"
)</f>
        <v>大爆款</v>
      </c>
    </row>
    <row r="49" spans="1:18" hidden="1" x14ac:dyDescent="0.3">
      <c r="A49" t="s">
        <v>481</v>
      </c>
      <c r="B49" t="s">
        <v>995</v>
      </c>
      <c r="C49" t="s">
        <v>482</v>
      </c>
      <c r="D49" t="s">
        <v>18</v>
      </c>
      <c r="E49" t="s">
        <v>19</v>
      </c>
      <c r="F49">
        <v>3051</v>
      </c>
      <c r="G49">
        <v>2.1059000000000001E-2</v>
      </c>
      <c r="H49">
        <v>0.24082000000000001</v>
      </c>
      <c r="I49" t="s">
        <v>23</v>
      </c>
      <c r="J49">
        <v>0.46541399999999999</v>
      </c>
      <c r="K49">
        <v>6.8021630000000002</v>
      </c>
      <c r="L49">
        <v>81</v>
      </c>
      <c r="M49">
        <v>10</v>
      </c>
      <c r="N49">
        <v>2</v>
      </c>
      <c r="O49">
        <v>18</v>
      </c>
      <c r="P49">
        <v>179</v>
      </c>
      <c r="Q49">
        <v>6</v>
      </c>
      <c r="R49" t="str" cm="1">
        <f t="array" ref="R49">_xlfn.IFS(
    F49&lt;4016, "烂",
    F49&lt;=12047, "常规",
    F49&lt;=27085, "小爆",
    F49&lt;=139426, "爆款",
    F49&lt;=212613, "大爆款",
    F49&gt;=212614, "超大爆款"
)</f>
        <v>烂</v>
      </c>
    </row>
    <row r="50" spans="1:18" hidden="1" x14ac:dyDescent="0.3">
      <c r="A50" t="s">
        <v>489</v>
      </c>
      <c r="B50" t="s">
        <v>996</v>
      </c>
      <c r="C50" t="s">
        <v>490</v>
      </c>
      <c r="D50" t="s">
        <v>18</v>
      </c>
      <c r="E50" t="s">
        <v>19</v>
      </c>
      <c r="F50">
        <v>21185</v>
      </c>
      <c r="G50">
        <v>1.3580999999999999E-2</v>
      </c>
      <c r="H50">
        <v>0.26699800000000001</v>
      </c>
      <c r="I50" t="s">
        <v>23</v>
      </c>
      <c r="J50">
        <v>0.506602</v>
      </c>
      <c r="K50">
        <v>8.5109270000000006</v>
      </c>
      <c r="L50">
        <v>971</v>
      </c>
      <c r="M50">
        <v>47</v>
      </c>
      <c r="N50">
        <v>5</v>
      </c>
      <c r="O50">
        <v>652</v>
      </c>
      <c r="P50">
        <v>556</v>
      </c>
      <c r="Q50">
        <v>83</v>
      </c>
      <c r="R50" t="str" cm="1">
        <f t="array" ref="R50">_xlfn.IFS(
    F50&lt;4016, "烂",
    F50&lt;=12047, "常规",
    F50&lt;=27085, "小爆",
    F50&lt;=139426, "爆款",
    F50&lt;=212613, "大爆款",
    F50&gt;=212614, "超大爆款"
)</f>
        <v>小爆</v>
      </c>
    </row>
    <row r="51" spans="1:18" x14ac:dyDescent="0.3">
      <c r="A51" t="s">
        <v>501</v>
      </c>
      <c r="B51" t="s">
        <v>997</v>
      </c>
      <c r="C51" t="s">
        <v>502</v>
      </c>
      <c r="D51" t="s">
        <v>18</v>
      </c>
      <c r="E51" t="s">
        <v>19</v>
      </c>
      <c r="F51">
        <v>128586</v>
      </c>
      <c r="G51">
        <v>1.4258E-2</v>
      </c>
      <c r="H51">
        <v>0.293713</v>
      </c>
      <c r="I51" t="s">
        <v>23</v>
      </c>
      <c r="J51">
        <v>0.44746399999999997</v>
      </c>
      <c r="K51">
        <v>9.5591399999999993</v>
      </c>
      <c r="L51">
        <v>5253</v>
      </c>
      <c r="M51">
        <v>567</v>
      </c>
      <c r="N51">
        <v>109</v>
      </c>
      <c r="O51">
        <v>2956</v>
      </c>
      <c r="P51">
        <v>1403</v>
      </c>
      <c r="Q51">
        <v>250</v>
      </c>
      <c r="R51" t="str" cm="1">
        <f t="array" ref="R51">_xlfn.IFS(
    F51&lt;4016, "烂",
    F51&lt;=12047, "常规",
    F51&lt;=27085, "小爆",
    F51&lt;=139426, "爆款",
    F51&lt;=212613, "大爆款",
    F51&gt;=212614, "超大爆款"
)</f>
        <v>爆款</v>
      </c>
    </row>
    <row r="52" spans="1:18" hidden="1" x14ac:dyDescent="0.3">
      <c r="A52" t="s">
        <v>514</v>
      </c>
      <c r="B52" t="s">
        <v>998</v>
      </c>
      <c r="C52" t="s">
        <v>515</v>
      </c>
      <c r="D52" t="s">
        <v>18</v>
      </c>
      <c r="E52" t="s">
        <v>19</v>
      </c>
      <c r="F52">
        <v>3070</v>
      </c>
      <c r="G52">
        <v>1.6254999999999999E-2</v>
      </c>
      <c r="H52">
        <v>0.21698400000000001</v>
      </c>
      <c r="I52" t="s">
        <v>23</v>
      </c>
      <c r="J52">
        <v>0.46509499999999998</v>
      </c>
      <c r="K52">
        <v>5.9625260000000004</v>
      </c>
      <c r="L52">
        <v>67</v>
      </c>
      <c r="M52">
        <v>0</v>
      </c>
      <c r="N52">
        <v>4</v>
      </c>
      <c r="O52">
        <v>16</v>
      </c>
      <c r="P52">
        <v>65</v>
      </c>
      <c r="Q52">
        <v>3</v>
      </c>
      <c r="R52" t="str" cm="1">
        <f t="array" ref="R52">_xlfn.IFS(
    F52&lt;4016, "烂",
    F52&lt;=12047, "常规",
    F52&lt;=27085, "小爆",
    F52&lt;=139426, "爆款",
    F52&lt;=212613, "大爆款",
    F52&gt;=212614, "超大爆款"
)</f>
        <v>烂</v>
      </c>
    </row>
    <row r="53" spans="1:18" hidden="1" x14ac:dyDescent="0.3">
      <c r="A53" t="s">
        <v>521</v>
      </c>
      <c r="B53" t="s">
        <v>999</v>
      </c>
      <c r="C53" t="s">
        <v>522</v>
      </c>
      <c r="D53" t="s">
        <v>95</v>
      </c>
      <c r="E53" t="s">
        <v>19</v>
      </c>
      <c r="F53">
        <v>4047</v>
      </c>
      <c r="G53">
        <v>3.192E-3</v>
      </c>
      <c r="H53">
        <v>0.18442600000000001</v>
      </c>
      <c r="I53">
        <v>0.27997</v>
      </c>
      <c r="J53">
        <v>0.48041899999999998</v>
      </c>
      <c r="K53">
        <v>6.2914389999999996</v>
      </c>
      <c r="L53">
        <v>51</v>
      </c>
      <c r="M53">
        <v>1</v>
      </c>
      <c r="N53">
        <v>5</v>
      </c>
      <c r="O53">
        <v>12</v>
      </c>
      <c r="P53">
        <v>40</v>
      </c>
      <c r="Q53">
        <v>9</v>
      </c>
      <c r="R53" t="str" cm="1">
        <f t="array" ref="R53">_xlfn.IFS(
    F53&lt;4016, "烂",
    F53&lt;=12047, "常规",
    F53&lt;=27085, "小爆",
    F53&lt;=139426, "爆款",
    F53&lt;=212613, "大爆款",
    F53&gt;=212614, "超大爆款"
)</f>
        <v>常规</v>
      </c>
    </row>
    <row r="54" spans="1:18" hidden="1" x14ac:dyDescent="0.3">
      <c r="A54" t="s">
        <v>530</v>
      </c>
      <c r="B54" t="s">
        <v>1000</v>
      </c>
      <c r="C54" t="s">
        <v>531</v>
      </c>
      <c r="D54" t="s">
        <v>18</v>
      </c>
      <c r="E54" t="s">
        <v>19</v>
      </c>
      <c r="F54">
        <v>4354</v>
      </c>
      <c r="G54">
        <v>4.7586000000000003E-2</v>
      </c>
      <c r="H54">
        <v>0.21535199999999999</v>
      </c>
      <c r="I54" t="s">
        <v>23</v>
      </c>
      <c r="J54">
        <v>0.547122</v>
      </c>
      <c r="K54">
        <v>12.27548</v>
      </c>
      <c r="L54">
        <v>80</v>
      </c>
      <c r="M54">
        <v>11</v>
      </c>
      <c r="N54">
        <v>1</v>
      </c>
      <c r="O54">
        <v>49</v>
      </c>
      <c r="P54">
        <v>56</v>
      </c>
      <c r="Q54">
        <v>5</v>
      </c>
      <c r="R54" t="str" cm="1">
        <f t="array" ref="R54">_xlfn.IFS(
    F54&lt;4016, "烂",
    F54&lt;=12047, "常规",
    F54&lt;=27085, "小爆",
    F54&lt;=139426, "爆款",
    F54&lt;=212613, "大爆款",
    F54&gt;=212614, "超大爆款"
)</f>
        <v>常规</v>
      </c>
    </row>
    <row r="55" spans="1:18" hidden="1" x14ac:dyDescent="0.3">
      <c r="A55" t="s">
        <v>538</v>
      </c>
      <c r="B55" t="s">
        <v>1001</v>
      </c>
      <c r="C55" t="s">
        <v>539</v>
      </c>
      <c r="D55" t="s">
        <v>18</v>
      </c>
      <c r="E55" t="s">
        <v>19</v>
      </c>
      <c r="F55">
        <v>13464</v>
      </c>
      <c r="G55">
        <v>2.5388000000000001E-2</v>
      </c>
      <c r="H55">
        <v>0.28323599999999999</v>
      </c>
      <c r="I55" t="s">
        <v>23</v>
      </c>
      <c r="J55">
        <v>0.42235200000000001</v>
      </c>
      <c r="K55">
        <v>12.964976999999999</v>
      </c>
      <c r="L55">
        <v>436</v>
      </c>
      <c r="M55">
        <v>26</v>
      </c>
      <c r="N55">
        <v>15</v>
      </c>
      <c r="O55">
        <v>263</v>
      </c>
      <c r="P55">
        <v>314</v>
      </c>
      <c r="Q55">
        <v>48</v>
      </c>
      <c r="R55" t="str" cm="1">
        <f t="array" ref="R55">_xlfn.IFS(
    F55&lt;4016, "烂",
    F55&lt;=12047, "常规",
    F55&lt;=27085, "小爆",
    F55&lt;=139426, "爆款",
    F55&lt;=212613, "大爆款",
    F55&gt;=212614, "超大爆款"
)</f>
        <v>小爆</v>
      </c>
    </row>
    <row r="56" spans="1:18" hidden="1" x14ac:dyDescent="0.3">
      <c r="A56" t="s">
        <v>548</v>
      </c>
      <c r="B56" t="s">
        <v>1026</v>
      </c>
      <c r="C56" t="s">
        <v>549</v>
      </c>
      <c r="D56" t="s">
        <v>18</v>
      </c>
      <c r="E56" t="s">
        <v>19</v>
      </c>
      <c r="F56">
        <v>3623</v>
      </c>
      <c r="G56">
        <v>6.5952999999999998E-2</v>
      </c>
      <c r="H56">
        <v>0.24993399999999999</v>
      </c>
      <c r="I56" t="s">
        <v>23</v>
      </c>
      <c r="J56">
        <v>0.56307399999999996</v>
      </c>
      <c r="K56">
        <v>16.630998999999999</v>
      </c>
      <c r="L56">
        <v>80</v>
      </c>
      <c r="M56">
        <v>7</v>
      </c>
      <c r="N56">
        <v>1</v>
      </c>
      <c r="O56">
        <v>33</v>
      </c>
      <c r="P56">
        <v>38</v>
      </c>
      <c r="Q56">
        <v>16</v>
      </c>
      <c r="R56" t="str" cm="1">
        <f t="array" ref="R56">_xlfn.IFS(
    F56&lt;4016, "烂",
    F56&lt;=12047, "常规",
    F56&lt;=27085, "小爆",
    F56&lt;=139426, "爆款",
    F56&lt;=212613, "大爆款",
    F56&gt;=212614, "超大爆款"
)</f>
        <v>烂</v>
      </c>
    </row>
    <row r="57" spans="1:18" hidden="1" x14ac:dyDescent="0.3">
      <c r="A57" t="s">
        <v>555</v>
      </c>
      <c r="B57" t="s">
        <v>1025</v>
      </c>
      <c r="C57" t="s">
        <v>556</v>
      </c>
      <c r="D57" t="s">
        <v>18</v>
      </c>
      <c r="E57" t="s">
        <v>19</v>
      </c>
      <c r="F57">
        <v>7783</v>
      </c>
      <c r="G57">
        <v>4.9961999999999999E-2</v>
      </c>
      <c r="H57">
        <v>0.408524</v>
      </c>
      <c r="I57" t="s">
        <v>23</v>
      </c>
      <c r="J57">
        <v>0.36851099999999998</v>
      </c>
      <c r="K57">
        <v>16.213329999999999</v>
      </c>
      <c r="L57">
        <v>152</v>
      </c>
      <c r="M57">
        <v>9</v>
      </c>
      <c r="N57">
        <v>9</v>
      </c>
      <c r="O57">
        <v>40</v>
      </c>
      <c r="P57">
        <v>249</v>
      </c>
      <c r="Q57">
        <v>20</v>
      </c>
      <c r="R57" t="str" cm="1">
        <f t="array" ref="R57">_xlfn.IFS(
    F57&lt;4016, "烂",
    F57&lt;=12047, "常规",
    F57&lt;=27085, "小爆",
    F57&lt;=139426, "爆款",
    F57&lt;=212613, "大爆款",
    F57&gt;=212614, "超大爆款"
)</f>
        <v>常规</v>
      </c>
    </row>
    <row r="58" spans="1:18" x14ac:dyDescent="0.3">
      <c r="A58" t="s">
        <v>564</v>
      </c>
      <c r="B58" t="s">
        <v>1024</v>
      </c>
      <c r="C58" t="s">
        <v>565</v>
      </c>
      <c r="D58" t="s">
        <v>18</v>
      </c>
      <c r="E58" t="s">
        <v>19</v>
      </c>
      <c r="F58">
        <v>100673</v>
      </c>
      <c r="G58">
        <v>1.5813000000000001E-2</v>
      </c>
      <c r="H58">
        <v>0.29827799999999999</v>
      </c>
      <c r="I58" t="s">
        <v>23</v>
      </c>
      <c r="J58">
        <v>0.38183699999999998</v>
      </c>
      <c r="K58">
        <v>9.6942579999999996</v>
      </c>
      <c r="L58">
        <v>4287</v>
      </c>
      <c r="M58">
        <v>352</v>
      </c>
      <c r="N58">
        <v>27</v>
      </c>
      <c r="O58">
        <v>2493</v>
      </c>
      <c r="P58">
        <v>1156</v>
      </c>
      <c r="Q58">
        <v>155</v>
      </c>
      <c r="R58" t="str" cm="1">
        <f t="array" ref="R58">_xlfn.IFS(
    F58&lt;4016, "烂",
    F58&lt;=12047, "常规",
    F58&lt;=27085, "小爆",
    F58&lt;=139426, "爆款",
    F58&lt;=212613, "大爆款",
    F58&gt;=212614, "超大爆款"
)</f>
        <v>爆款</v>
      </c>
    </row>
    <row r="59" spans="1:18" hidden="1" x14ac:dyDescent="0.3">
      <c r="A59" t="s">
        <v>576</v>
      </c>
      <c r="B59" s="10" t="s">
        <v>1053</v>
      </c>
      <c r="C59" t="s">
        <v>577</v>
      </c>
      <c r="D59" t="s">
        <v>18</v>
      </c>
      <c r="E59" t="s">
        <v>19</v>
      </c>
      <c r="F59">
        <v>817</v>
      </c>
      <c r="G59">
        <v>3.529E-3</v>
      </c>
      <c r="H59">
        <v>5.8305999999999997E-2</v>
      </c>
      <c r="I59" t="s">
        <v>23</v>
      </c>
      <c r="J59">
        <v>0.72607299999999997</v>
      </c>
      <c r="K59">
        <v>2.5995599999999999</v>
      </c>
      <c r="L59">
        <v>4</v>
      </c>
      <c r="M59">
        <v>0</v>
      </c>
      <c r="N59">
        <v>0</v>
      </c>
      <c r="O59">
        <v>1</v>
      </c>
      <c r="P59">
        <v>36</v>
      </c>
      <c r="Q59">
        <v>0</v>
      </c>
      <c r="R59" s="9" t="s">
        <v>1096</v>
      </c>
    </row>
    <row r="60" spans="1:18" hidden="1" x14ac:dyDescent="0.3">
      <c r="A60" t="s">
        <v>587</v>
      </c>
      <c r="B60" s="4" t="s">
        <v>1002</v>
      </c>
      <c r="C60" t="s">
        <v>588</v>
      </c>
      <c r="D60" t="s">
        <v>18</v>
      </c>
      <c r="E60" t="s">
        <v>19</v>
      </c>
      <c r="F60">
        <v>5032</v>
      </c>
      <c r="G60">
        <v>8.8408E-2</v>
      </c>
      <c r="H60">
        <v>0.24967400000000001</v>
      </c>
      <c r="I60" t="s">
        <v>23</v>
      </c>
      <c r="J60">
        <v>0.53360600000000002</v>
      </c>
      <c r="K60">
        <v>18.637869999999999</v>
      </c>
      <c r="L60">
        <v>76</v>
      </c>
      <c r="M60">
        <v>5</v>
      </c>
      <c r="N60">
        <v>1</v>
      </c>
      <c r="O60">
        <v>45</v>
      </c>
      <c r="P60">
        <v>72</v>
      </c>
      <c r="Q60">
        <v>16</v>
      </c>
      <c r="R60" t="str" cm="1">
        <f t="array" ref="R60">_xlfn.IFS(
    F60&lt;4016, "烂",
    F60&lt;=12047, "常规",
    F60&lt;=27085, "小爆",
    F60&lt;=139426, "爆款",
    F60&lt;=212613, "大爆款",
    F60&gt;=212614, "超大爆款"
)</f>
        <v>常规</v>
      </c>
    </row>
    <row r="61" spans="1:18" hidden="1" x14ac:dyDescent="0.3">
      <c r="A61" t="s">
        <v>595</v>
      </c>
      <c r="B61" s="4" t="s">
        <v>1003</v>
      </c>
      <c r="C61" t="s">
        <v>596</v>
      </c>
      <c r="D61" t="s">
        <v>95</v>
      </c>
      <c r="E61" t="s">
        <v>19</v>
      </c>
      <c r="F61">
        <v>10521</v>
      </c>
      <c r="G61">
        <v>6.4264000000000002E-2</v>
      </c>
      <c r="H61">
        <v>0.32678000000000001</v>
      </c>
      <c r="I61">
        <v>0.29513200000000001</v>
      </c>
      <c r="J61">
        <v>0.40774300000000002</v>
      </c>
      <c r="K61">
        <v>20.842300000000002</v>
      </c>
      <c r="L61">
        <v>214</v>
      </c>
      <c r="M61">
        <v>16</v>
      </c>
      <c r="N61">
        <v>9</v>
      </c>
      <c r="O61">
        <v>131</v>
      </c>
      <c r="P61">
        <v>161</v>
      </c>
      <c r="Q61">
        <v>31</v>
      </c>
      <c r="R61" t="str" cm="1">
        <f t="array" ref="R61">_xlfn.IFS(
    F61&lt;4016, "烂",
    F61&lt;=12047, "常规",
    F61&lt;=27085, "小爆",
    F61&lt;=139426, "爆款",
    F61&lt;=212613, "大爆款",
    F61&gt;=212614, "超大爆款"
)</f>
        <v>常规</v>
      </c>
    </row>
    <row r="62" spans="1:18" x14ac:dyDescent="0.3">
      <c r="A62" t="s">
        <v>607</v>
      </c>
      <c r="B62" s="4" t="s">
        <v>1004</v>
      </c>
      <c r="C62" t="s">
        <v>608</v>
      </c>
      <c r="D62" t="s">
        <v>18</v>
      </c>
      <c r="E62" t="s">
        <v>19</v>
      </c>
      <c r="F62">
        <v>4912015</v>
      </c>
      <c r="G62">
        <v>2.826E-2</v>
      </c>
      <c r="H62">
        <v>0.50465199999999999</v>
      </c>
      <c r="I62" t="s">
        <v>23</v>
      </c>
      <c r="J62">
        <v>0.26726699999999998</v>
      </c>
      <c r="K62">
        <v>25.582419000000002</v>
      </c>
      <c r="L62">
        <v>223523</v>
      </c>
      <c r="M62">
        <v>43985</v>
      </c>
      <c r="N62">
        <v>11101</v>
      </c>
      <c r="O62">
        <v>17999</v>
      </c>
      <c r="P62">
        <v>74978</v>
      </c>
      <c r="Q62">
        <v>2487</v>
      </c>
      <c r="R62" t="str" cm="1">
        <f t="array" ref="R62">_xlfn.IFS(
    F62&lt;4016, "烂",
    F62&lt;=12047, "常规",
    F62&lt;=27085, "小爆",
    F62&lt;=139426, "爆款",
    F62&lt;=212613, "大爆款",
    F62&gt;=212614, "超大爆款"
)</f>
        <v>超大爆款</v>
      </c>
    </row>
    <row r="63" spans="1:18" hidden="1" x14ac:dyDescent="0.3">
      <c r="A63" t="s">
        <v>620</v>
      </c>
      <c r="B63" s="4" t="s">
        <v>1005</v>
      </c>
      <c r="C63" t="s">
        <v>621</v>
      </c>
      <c r="D63" t="s">
        <v>139</v>
      </c>
      <c r="E63" t="s">
        <v>19</v>
      </c>
      <c r="F63">
        <v>3984</v>
      </c>
      <c r="G63">
        <v>2.9534999999999999E-2</v>
      </c>
      <c r="H63">
        <v>0.29145399999999999</v>
      </c>
      <c r="I63">
        <v>0.138492</v>
      </c>
      <c r="J63">
        <v>0.41964299999999999</v>
      </c>
      <c r="K63">
        <v>27.085459</v>
      </c>
      <c r="L63">
        <v>84</v>
      </c>
      <c r="M63">
        <v>8</v>
      </c>
      <c r="N63">
        <v>2</v>
      </c>
      <c r="O63">
        <v>34</v>
      </c>
      <c r="P63">
        <v>88</v>
      </c>
      <c r="Q63">
        <v>13</v>
      </c>
      <c r="R63" t="str" cm="1">
        <f t="array" ref="R63">_xlfn.IFS(
    F63&lt;4016, "烂",
    F63&lt;=12047, "常规",
    F63&lt;=27085, "小爆",
    F63&lt;=139426, "爆款",
    F63&lt;=212613, "大爆款",
    F63&gt;=212614, "超大爆款"
)</f>
        <v>烂</v>
      </c>
    </row>
    <row r="64" spans="1:18" x14ac:dyDescent="0.3">
      <c r="A64" t="s">
        <v>631</v>
      </c>
      <c r="B64" s="4" t="s">
        <v>1006</v>
      </c>
      <c r="C64" t="s">
        <v>632</v>
      </c>
      <c r="D64" t="s">
        <v>18</v>
      </c>
      <c r="E64" t="s">
        <v>19</v>
      </c>
      <c r="F64">
        <v>105414</v>
      </c>
      <c r="G64">
        <v>1.3275E-2</v>
      </c>
      <c r="H64">
        <v>0.33562399999999998</v>
      </c>
      <c r="I64" t="s">
        <v>23</v>
      </c>
      <c r="J64">
        <v>0.33105600000000002</v>
      </c>
      <c r="K64">
        <v>13.116533</v>
      </c>
      <c r="L64">
        <v>4771</v>
      </c>
      <c r="M64">
        <v>406</v>
      </c>
      <c r="N64">
        <v>79</v>
      </c>
      <c r="O64">
        <v>3173</v>
      </c>
      <c r="P64">
        <v>1832</v>
      </c>
      <c r="Q64">
        <v>223</v>
      </c>
      <c r="R64" t="str" cm="1">
        <f t="array" ref="R64">_xlfn.IFS(
    F64&lt;4016, "烂",
    F64&lt;=12047, "常规",
    F64&lt;=27085, "小爆",
    F64&lt;=139426, "爆款",
    F64&lt;=212613, "大爆款",
    F64&gt;=212614, "超大爆款"
)</f>
        <v>爆款</v>
      </c>
    </row>
    <row r="65" spans="1:18" x14ac:dyDescent="0.3">
      <c r="A65" t="s">
        <v>643</v>
      </c>
      <c r="B65" s="4" t="s">
        <v>1007</v>
      </c>
      <c r="C65" t="s">
        <v>644</v>
      </c>
      <c r="D65" t="s">
        <v>95</v>
      </c>
      <c r="E65" t="s">
        <v>19</v>
      </c>
      <c r="F65">
        <v>41075</v>
      </c>
      <c r="G65">
        <v>1.5525000000000001E-2</v>
      </c>
      <c r="H65">
        <v>0.30142600000000003</v>
      </c>
      <c r="I65">
        <v>0.12303</v>
      </c>
      <c r="J65">
        <v>0.44288699999999998</v>
      </c>
      <c r="K65">
        <v>12.61242</v>
      </c>
      <c r="L65">
        <v>1022</v>
      </c>
      <c r="M65">
        <v>161</v>
      </c>
      <c r="N65">
        <v>47</v>
      </c>
      <c r="O65">
        <v>577</v>
      </c>
      <c r="P65">
        <v>1064</v>
      </c>
      <c r="Q65">
        <v>132</v>
      </c>
      <c r="R65" t="str" cm="1">
        <f t="array" ref="R65">_xlfn.IFS(
    F65&lt;4016, "烂",
    F65&lt;=12047, "常规",
    F65&lt;=27085, "小爆",
    F65&lt;=139426, "爆款",
    F65&lt;=212613, "大爆款",
    F65&gt;=212614, "超大爆款"
)</f>
        <v>爆款</v>
      </c>
    </row>
    <row r="66" spans="1:18" hidden="1" x14ac:dyDescent="0.3">
      <c r="A66" t="s">
        <v>654</v>
      </c>
      <c r="B66" s="4" t="s">
        <v>1008</v>
      </c>
      <c r="C66" t="s">
        <v>655</v>
      </c>
      <c r="D66" t="s">
        <v>18</v>
      </c>
      <c r="E66" t="s">
        <v>19</v>
      </c>
      <c r="F66">
        <v>6048</v>
      </c>
      <c r="G66">
        <v>4.1967999999999998E-2</v>
      </c>
      <c r="H66">
        <v>0.33813799999999999</v>
      </c>
      <c r="I66" t="s">
        <v>23</v>
      </c>
      <c r="J66">
        <v>0.44318400000000002</v>
      </c>
      <c r="K66">
        <v>13.875633000000001</v>
      </c>
      <c r="L66">
        <v>133</v>
      </c>
      <c r="M66">
        <v>25</v>
      </c>
      <c r="N66">
        <v>2</v>
      </c>
      <c r="O66">
        <v>104</v>
      </c>
      <c r="P66">
        <v>71</v>
      </c>
      <c r="Q66">
        <v>14</v>
      </c>
      <c r="R66" t="str" cm="1">
        <f t="array" ref="R66">_xlfn.IFS(
    F66&lt;4016, "烂",
    F66&lt;=12047, "常规",
    F66&lt;=27085, "小爆",
    F66&lt;=139426, "爆款",
    F66&lt;=212613, "大爆款",
    F66&gt;=212614, "超大爆款"
)</f>
        <v>常规</v>
      </c>
    </row>
    <row r="67" spans="1:18" hidden="1" x14ac:dyDescent="0.3">
      <c r="A67" t="s">
        <v>664</v>
      </c>
      <c r="B67" s="4" t="s">
        <v>1009</v>
      </c>
      <c r="C67" t="s">
        <v>665</v>
      </c>
      <c r="D67" t="s">
        <v>18</v>
      </c>
      <c r="E67" t="s">
        <v>19</v>
      </c>
      <c r="F67">
        <v>2245</v>
      </c>
      <c r="G67">
        <v>3.0540999999999999E-2</v>
      </c>
      <c r="H67">
        <v>0.23960899999999999</v>
      </c>
      <c r="I67" t="s">
        <v>23</v>
      </c>
      <c r="J67">
        <v>0.51548499999999997</v>
      </c>
      <c r="K67">
        <v>9.9706600000000005</v>
      </c>
      <c r="L67">
        <v>45</v>
      </c>
      <c r="M67">
        <v>1</v>
      </c>
      <c r="N67">
        <v>1</v>
      </c>
      <c r="O67">
        <v>4</v>
      </c>
      <c r="P67">
        <v>23</v>
      </c>
      <c r="Q67">
        <v>1</v>
      </c>
      <c r="R67" t="str" cm="1">
        <f t="array" ref="R67">_xlfn.IFS(
    F67&lt;4016, "烂",
    F67&lt;=12047, "常规",
    F67&lt;=27085, "小爆",
    F67&lt;=139426, "爆款",
    F67&lt;=212613, "大爆款",
    F67&gt;=212614, "超大爆款"
)</f>
        <v>烂</v>
      </c>
    </row>
    <row r="68" spans="1:18" hidden="1" x14ac:dyDescent="0.3">
      <c r="A68" t="s">
        <v>671</v>
      </c>
      <c r="B68" s="4" t="s">
        <v>1010</v>
      </c>
      <c r="C68" t="s">
        <v>672</v>
      </c>
      <c r="D68" t="s">
        <v>18</v>
      </c>
      <c r="E68" t="s">
        <v>19</v>
      </c>
      <c r="F68">
        <v>10355</v>
      </c>
      <c r="G68">
        <v>5.2179999999999997E-2</v>
      </c>
      <c r="H68">
        <v>0.43256099999999997</v>
      </c>
      <c r="I68" t="s">
        <v>23</v>
      </c>
      <c r="J68">
        <v>0.34862100000000001</v>
      </c>
      <c r="K68">
        <v>15.299035</v>
      </c>
      <c r="L68">
        <v>272</v>
      </c>
      <c r="M68">
        <v>21</v>
      </c>
      <c r="N68">
        <v>3</v>
      </c>
      <c r="O68">
        <v>65</v>
      </c>
      <c r="P68">
        <v>120</v>
      </c>
      <c r="Q68">
        <v>21</v>
      </c>
      <c r="R68" t="str" cm="1">
        <f t="array" ref="R68">_xlfn.IFS(
    F68&lt;4016, "烂",
    F68&lt;=12047, "常规",
    F68&lt;=27085, "小爆",
    F68&lt;=139426, "爆款",
    F68&lt;=212613, "大爆款",
    F68&gt;=212614, "超大爆款"
)</f>
        <v>常规</v>
      </c>
    </row>
    <row r="69" spans="1:18" x14ac:dyDescent="0.3">
      <c r="A69" t="s">
        <v>680</v>
      </c>
      <c r="B69" s="4" t="s">
        <v>1011</v>
      </c>
      <c r="C69" t="s">
        <v>681</v>
      </c>
      <c r="D69" t="s">
        <v>18</v>
      </c>
      <c r="E69" t="s">
        <v>19</v>
      </c>
      <c r="F69">
        <v>101616</v>
      </c>
      <c r="G69">
        <v>2.9218999999999998E-2</v>
      </c>
      <c r="H69">
        <v>0.27991100000000002</v>
      </c>
      <c r="I69" t="s">
        <v>23</v>
      </c>
      <c r="J69">
        <v>0.41424800000000001</v>
      </c>
      <c r="K69">
        <v>13.42839</v>
      </c>
      <c r="L69">
        <v>2055</v>
      </c>
      <c r="M69">
        <v>433</v>
      </c>
      <c r="N69">
        <v>99</v>
      </c>
      <c r="O69">
        <v>2054</v>
      </c>
      <c r="P69">
        <v>1443</v>
      </c>
      <c r="Q69">
        <v>285</v>
      </c>
      <c r="R69" t="str" cm="1">
        <f t="array" ref="R69">_xlfn.IFS(
    F69&lt;4016, "烂",
    F69&lt;=12047, "常规",
    F69&lt;=27085, "小爆",
    F69&lt;=139426, "爆款",
    F69&lt;=212613, "大爆款",
    F69&gt;=212614, "超大爆款"
)</f>
        <v>爆款</v>
      </c>
    </row>
    <row r="70" spans="1:18" x14ac:dyDescent="0.3">
      <c r="A70" t="s">
        <v>693</v>
      </c>
      <c r="B70" s="4" t="s">
        <v>1012</v>
      </c>
      <c r="C70" t="s">
        <v>694</v>
      </c>
      <c r="D70" t="s">
        <v>95</v>
      </c>
      <c r="E70" t="s">
        <v>19</v>
      </c>
      <c r="F70">
        <v>101916</v>
      </c>
      <c r="G70">
        <v>9.9010000000000001E-3</v>
      </c>
      <c r="H70">
        <v>0.30345299999999997</v>
      </c>
      <c r="I70">
        <v>0.25299700000000003</v>
      </c>
      <c r="J70">
        <v>0.43238799999999999</v>
      </c>
      <c r="K70">
        <v>11.40929</v>
      </c>
      <c r="L70">
        <v>4103</v>
      </c>
      <c r="M70">
        <v>407</v>
      </c>
      <c r="N70">
        <v>42</v>
      </c>
      <c r="O70">
        <v>2478</v>
      </c>
      <c r="P70">
        <v>2488</v>
      </c>
      <c r="Q70">
        <v>463</v>
      </c>
      <c r="R70" t="str" cm="1">
        <f t="array" ref="R70">_xlfn.IFS(
    F70&lt;4016, "烂",
    F70&lt;=12047, "常规",
    F70&lt;=27085, "小爆",
    F70&lt;=139426, "爆款",
    F70&lt;=212613, "大爆款",
    F70&gt;=212614, "超大爆款"
)</f>
        <v>爆款</v>
      </c>
    </row>
    <row r="71" spans="1:18" ht="17.5" x14ac:dyDescent="0.3">
      <c r="A71" s="5" t="s">
        <v>964</v>
      </c>
      <c r="B71" s="4" t="s">
        <v>1023</v>
      </c>
      <c r="C71" t="s">
        <v>708</v>
      </c>
      <c r="D71" t="s">
        <v>95</v>
      </c>
      <c r="E71" t="s">
        <v>19</v>
      </c>
      <c r="F71">
        <v>212710</v>
      </c>
      <c r="G71">
        <v>2.1503999999999999E-2</v>
      </c>
      <c r="H71">
        <v>0.37082999999999999</v>
      </c>
      <c r="I71">
        <v>0.47684700000000002</v>
      </c>
      <c r="J71">
        <v>0.39301900000000001</v>
      </c>
      <c r="K71">
        <v>19.074269000000001</v>
      </c>
      <c r="L71">
        <v>7175</v>
      </c>
      <c r="M71">
        <v>1580</v>
      </c>
      <c r="N71">
        <v>305</v>
      </c>
      <c r="O71">
        <v>4978</v>
      </c>
      <c r="P71">
        <v>3303</v>
      </c>
      <c r="Q71">
        <v>597</v>
      </c>
      <c r="R71" t="str" cm="1">
        <f t="array" ref="R71">_xlfn.IFS(
    F71&lt;4016, "烂",
    F71&lt;=12047, "常规",
    F71&lt;=27085, "小爆",
    F71&lt;=139426, "爆款",
    F71&lt;=212613, "大爆款",
    F71&gt;=212614, "超大爆款"
)</f>
        <v>超大爆款</v>
      </c>
    </row>
    <row r="72" spans="1:18" x14ac:dyDescent="0.3">
      <c r="A72" t="s">
        <v>727</v>
      </c>
      <c r="B72" s="4" t="s">
        <v>1098</v>
      </c>
      <c r="C72" t="s">
        <v>728</v>
      </c>
      <c r="D72" t="s">
        <v>139</v>
      </c>
      <c r="E72" t="s">
        <v>19</v>
      </c>
      <c r="F72">
        <v>164675</v>
      </c>
      <c r="G72">
        <v>6.9959999999999996E-3</v>
      </c>
      <c r="H72">
        <v>0.39141799999999999</v>
      </c>
      <c r="I72">
        <v>0.13006899999999999</v>
      </c>
      <c r="J72">
        <v>0.39354699999999998</v>
      </c>
      <c r="K72">
        <v>16.385807</v>
      </c>
      <c r="L72">
        <v>10970</v>
      </c>
      <c r="M72">
        <v>1380</v>
      </c>
      <c r="N72">
        <v>136</v>
      </c>
      <c r="O72">
        <v>6502</v>
      </c>
      <c r="P72">
        <v>6252</v>
      </c>
      <c r="Q72">
        <v>906</v>
      </c>
      <c r="R72" t="str" cm="1">
        <f t="array" ref="R72">_xlfn.IFS(
    F72&lt;4016, "烂",
    F72&lt;=12047, "常规",
    F72&lt;=27085, "小爆",
    F72&lt;=139426, "爆款",
    F72&lt;=212613, "大爆款",
    F72&gt;=212614, "超大爆款"
)</f>
        <v>大爆款</v>
      </c>
    </row>
    <row r="73" spans="1:18" ht="16.5" hidden="1" x14ac:dyDescent="0.3">
      <c r="A73" s="4" t="s">
        <v>1097</v>
      </c>
      <c r="B73" s="4" t="s">
        <v>1013</v>
      </c>
      <c r="C73" t="s">
        <v>742</v>
      </c>
      <c r="D73" t="s">
        <v>95</v>
      </c>
      <c r="E73" t="s">
        <v>19</v>
      </c>
      <c r="F73">
        <v>1030</v>
      </c>
      <c r="G73">
        <v>2.1277000000000001E-2</v>
      </c>
      <c r="H73">
        <v>0.23585800000000001</v>
      </c>
      <c r="I73">
        <v>9.0991000000000002E-2</v>
      </c>
      <c r="J73">
        <v>0.450623</v>
      </c>
      <c r="K73">
        <v>15.964525</v>
      </c>
      <c r="L73">
        <v>18</v>
      </c>
      <c r="M73">
        <v>2</v>
      </c>
      <c r="N73">
        <v>3</v>
      </c>
      <c r="O73">
        <v>4</v>
      </c>
      <c r="P73">
        <v>11</v>
      </c>
      <c r="Q73">
        <v>3</v>
      </c>
      <c r="R73" t="str" cm="1">
        <f t="array" ref="R73">_xlfn.IFS(
    F73&lt;4016, "烂",
    F73&lt;=12047, "常规",
    F73&lt;=27085, "小爆",
    F73&lt;=139426, "爆款",
    F73&lt;=212613, "大爆款",
    F73&gt;=212614, "超大爆款"
)</f>
        <v>烂</v>
      </c>
    </row>
    <row r="74" spans="1:18" hidden="1" x14ac:dyDescent="0.3">
      <c r="A74" t="s">
        <v>749</v>
      </c>
      <c r="B74" s="4" t="s">
        <v>1014</v>
      </c>
      <c r="C74" t="s">
        <v>750</v>
      </c>
      <c r="D74" t="s">
        <v>18</v>
      </c>
      <c r="E74" t="s">
        <v>19</v>
      </c>
      <c r="F74">
        <v>3720</v>
      </c>
      <c r="G74">
        <v>6.7358000000000001E-2</v>
      </c>
      <c r="H74">
        <v>0.34300599999999998</v>
      </c>
      <c r="I74" t="s">
        <v>23</v>
      </c>
      <c r="J74">
        <v>0.36535099999999998</v>
      </c>
      <c r="K74">
        <v>19.282647000000001</v>
      </c>
      <c r="L74">
        <v>79</v>
      </c>
      <c r="M74">
        <v>7</v>
      </c>
      <c r="N74">
        <v>4</v>
      </c>
      <c r="O74">
        <v>49</v>
      </c>
      <c r="P74">
        <v>27</v>
      </c>
      <c r="Q74">
        <v>7</v>
      </c>
      <c r="R74" t="str" cm="1">
        <f t="array" ref="R74">_xlfn.IFS(
    F74&lt;4016, "烂",
    F74&lt;=12047, "常规",
    F74&lt;=27085, "小爆",
    F74&lt;=139426, "爆款",
    F74&lt;=212613, "大爆款",
    F74&gt;=212614, "超大爆款"
)</f>
        <v>烂</v>
      </c>
    </row>
    <row r="75" spans="1:18" hidden="1" x14ac:dyDescent="0.3">
      <c r="A75" t="s">
        <v>762</v>
      </c>
      <c r="B75" s="4" t="s">
        <v>1015</v>
      </c>
      <c r="C75" t="s">
        <v>763</v>
      </c>
      <c r="D75" t="s">
        <v>18</v>
      </c>
      <c r="E75" t="s">
        <v>19</v>
      </c>
      <c r="F75">
        <v>2181</v>
      </c>
      <c r="G75">
        <v>2.4268999999999999E-2</v>
      </c>
      <c r="H75">
        <v>0.25976900000000003</v>
      </c>
      <c r="I75" t="s">
        <v>23</v>
      </c>
      <c r="J75">
        <v>0.372558</v>
      </c>
      <c r="K75">
        <v>10.657638</v>
      </c>
      <c r="L75">
        <v>43</v>
      </c>
      <c r="M75">
        <v>3</v>
      </c>
      <c r="N75">
        <v>2</v>
      </c>
      <c r="O75">
        <v>9</v>
      </c>
      <c r="P75">
        <v>21</v>
      </c>
      <c r="Q75">
        <v>5</v>
      </c>
      <c r="R75" t="str" cm="1">
        <f t="array" ref="R75">_xlfn.IFS(
    F75&lt;4016, "烂",
    F75&lt;=12047, "常规",
    F75&lt;=27085, "小爆",
    F75&lt;=139426, "爆款",
    F75&lt;=212613, "大爆款",
    F75&gt;=212614, "超大爆款"
)</f>
        <v>烂</v>
      </c>
    </row>
    <row r="76" spans="1:18" hidden="1" x14ac:dyDescent="0.3">
      <c r="A76" t="s">
        <v>769</v>
      </c>
      <c r="B76" s="4" t="s">
        <v>1016</v>
      </c>
      <c r="C76" t="s">
        <v>770</v>
      </c>
      <c r="D76" t="s">
        <v>95</v>
      </c>
      <c r="E76" t="s">
        <v>19</v>
      </c>
      <c r="F76">
        <v>3752</v>
      </c>
      <c r="G76">
        <v>2.2995000000000002E-2</v>
      </c>
      <c r="H76">
        <v>0.32769900000000002</v>
      </c>
      <c r="I76">
        <v>7.5061000000000003E-2</v>
      </c>
      <c r="J76">
        <v>0.38782899999999998</v>
      </c>
      <c r="K76">
        <v>14.576188999999999</v>
      </c>
      <c r="L76">
        <v>106</v>
      </c>
      <c r="M76">
        <v>13</v>
      </c>
      <c r="N76">
        <v>5</v>
      </c>
      <c r="O76">
        <v>39</v>
      </c>
      <c r="P76">
        <v>85</v>
      </c>
      <c r="Q76">
        <v>7</v>
      </c>
      <c r="R76" t="str" cm="1">
        <f t="array" ref="R76">_xlfn.IFS(
    F76&lt;4016, "烂",
    F76&lt;=12047, "常规",
    F76&lt;=27085, "小爆",
    F76&lt;=139426, "爆款",
    F76&lt;=212613, "大爆款",
    F76&gt;=212614, "超大爆款"
)</f>
        <v>烂</v>
      </c>
    </row>
    <row r="77" spans="1:18" ht="16.5" x14ac:dyDescent="0.3">
      <c r="A77" s="5" t="s">
        <v>963</v>
      </c>
      <c r="B77" s="4" t="s">
        <v>1017</v>
      </c>
      <c r="C77" t="s">
        <v>780</v>
      </c>
      <c r="D77" t="s">
        <v>95</v>
      </c>
      <c r="E77" t="s">
        <v>19</v>
      </c>
      <c r="F77">
        <v>267204</v>
      </c>
      <c r="G77">
        <v>3.9134000000000002E-2</v>
      </c>
      <c r="H77">
        <v>0.26986599999999999</v>
      </c>
      <c r="I77">
        <v>0.135267</v>
      </c>
      <c r="J77">
        <v>0.38977299999999998</v>
      </c>
      <c r="K77">
        <v>22.507038999999999</v>
      </c>
      <c r="L77">
        <v>5973</v>
      </c>
      <c r="M77">
        <v>1615</v>
      </c>
      <c r="N77">
        <v>325</v>
      </c>
      <c r="O77">
        <v>4768</v>
      </c>
      <c r="P77">
        <v>3303</v>
      </c>
      <c r="Q77">
        <v>838</v>
      </c>
      <c r="R77" t="str" cm="1">
        <f t="array" ref="R77">_xlfn.IFS(
    F77&lt;4016, "烂",
    F77&lt;=12047, "常规",
    F77&lt;=27085, "小爆",
    F77&lt;=139426, "爆款",
    F77&lt;=212613, "大爆款",
    F77&gt;=212614, "超大爆款"
)</f>
        <v>超大爆款</v>
      </c>
    </row>
    <row r="78" spans="1:18" hidden="1" x14ac:dyDescent="0.3">
      <c r="A78" t="s">
        <v>792</v>
      </c>
      <c r="B78" s="4" t="s">
        <v>1018</v>
      </c>
      <c r="C78" t="s">
        <v>793</v>
      </c>
      <c r="D78" t="s">
        <v>139</v>
      </c>
      <c r="E78" t="s">
        <v>19</v>
      </c>
      <c r="F78">
        <v>5431</v>
      </c>
      <c r="G78">
        <v>3.4539E-2</v>
      </c>
      <c r="H78">
        <v>0.420566</v>
      </c>
      <c r="I78">
        <v>0.53646400000000005</v>
      </c>
      <c r="J78">
        <v>0.32461699999999999</v>
      </c>
      <c r="K78">
        <v>30.753637000000001</v>
      </c>
      <c r="L78">
        <v>114</v>
      </c>
      <c r="M78">
        <v>19</v>
      </c>
      <c r="N78">
        <v>3</v>
      </c>
      <c r="O78">
        <v>76</v>
      </c>
      <c r="P78">
        <v>139</v>
      </c>
      <c r="Q78">
        <v>53</v>
      </c>
      <c r="R78" t="str" cm="1">
        <f t="array" ref="R78">_xlfn.IFS(
    F78&lt;4016, "烂",
    F78&lt;=12047, "常规",
    F78&lt;=27085, "小爆",
    F78&lt;=139426, "爆款",
    F78&lt;=212613, "大爆款",
    F78&gt;=212614, "超大爆款"
)</f>
        <v>常规</v>
      </c>
    </row>
    <row r="79" spans="1:18" hidden="1" x14ac:dyDescent="0.3">
      <c r="A79" t="s">
        <v>802</v>
      </c>
      <c r="B79" s="4" t="s">
        <v>1019</v>
      </c>
      <c r="C79" t="s">
        <v>803</v>
      </c>
      <c r="D79" t="s">
        <v>139</v>
      </c>
      <c r="E79" t="s">
        <v>19</v>
      </c>
      <c r="F79">
        <v>2099</v>
      </c>
      <c r="G79">
        <v>2.7144000000000001E-2</v>
      </c>
      <c r="H79">
        <v>0.38330399999999998</v>
      </c>
      <c r="I79">
        <v>0.21495300000000001</v>
      </c>
      <c r="J79">
        <v>0.34396900000000002</v>
      </c>
      <c r="K79">
        <v>30.967656999999999</v>
      </c>
      <c r="L79">
        <v>44</v>
      </c>
      <c r="M79">
        <v>3</v>
      </c>
      <c r="N79">
        <v>5</v>
      </c>
      <c r="O79">
        <v>8</v>
      </c>
      <c r="P79">
        <v>52</v>
      </c>
      <c r="Q79">
        <v>5</v>
      </c>
      <c r="R79" t="str" cm="1">
        <f t="array" ref="R79">_xlfn.IFS(
    F79&lt;4016, "烂",
    F79&lt;=12047, "常规",
    F79&lt;=27085, "小爆",
    F79&lt;=139426, "爆款",
    F79&lt;=212613, "大爆款",
    F79&gt;=212614, "超大爆款"
)</f>
        <v>烂</v>
      </c>
    </row>
    <row r="80" spans="1:18" hidden="1" x14ac:dyDescent="0.3">
      <c r="A80" t="s">
        <v>810</v>
      </c>
      <c r="B80" s="4" t="s">
        <v>1022</v>
      </c>
      <c r="C80" t="s">
        <v>811</v>
      </c>
      <c r="D80" t="s">
        <v>18</v>
      </c>
      <c r="E80" t="s">
        <v>19</v>
      </c>
      <c r="F80">
        <v>1347</v>
      </c>
      <c r="G80">
        <v>2.8046000000000001E-2</v>
      </c>
      <c r="H80">
        <v>0.30739</v>
      </c>
      <c r="I80" t="s">
        <v>23</v>
      </c>
      <c r="J80">
        <v>0.37342799999999998</v>
      </c>
      <c r="K80">
        <v>14.425314</v>
      </c>
      <c r="L80">
        <v>7</v>
      </c>
      <c r="M80">
        <v>2</v>
      </c>
      <c r="N80">
        <v>2</v>
      </c>
      <c r="O80">
        <v>3</v>
      </c>
      <c r="P80">
        <v>14</v>
      </c>
      <c r="Q80">
        <v>4</v>
      </c>
      <c r="R80" t="str" cm="1">
        <f t="array" ref="R80">_xlfn.IFS(
    F80&lt;4016, "烂",
    F80&lt;=12047, "常规",
    F80&lt;=27085, "小爆",
    F80&lt;=139426, "爆款",
    F80&lt;=212613, "大爆款",
    F80&gt;=212614, "超大爆款"
)</f>
        <v>烂</v>
      </c>
    </row>
    <row r="81" spans="1:18" hidden="1" x14ac:dyDescent="0.3">
      <c r="A81" t="s">
        <v>817</v>
      </c>
      <c r="B81" s="4" t="s">
        <v>1021</v>
      </c>
      <c r="C81" t="s">
        <v>818</v>
      </c>
      <c r="D81" t="s">
        <v>18</v>
      </c>
      <c r="E81" t="s">
        <v>19</v>
      </c>
      <c r="F81">
        <v>1946</v>
      </c>
      <c r="G81">
        <v>2.5061E-2</v>
      </c>
      <c r="H81">
        <v>0.23769999999999999</v>
      </c>
      <c r="I81" t="s">
        <v>23</v>
      </c>
      <c r="J81">
        <v>0.46932000000000001</v>
      </c>
      <c r="K81">
        <v>11.715312000000001</v>
      </c>
      <c r="L81">
        <v>62</v>
      </c>
      <c r="M81">
        <v>4</v>
      </c>
      <c r="N81">
        <v>2</v>
      </c>
      <c r="O81">
        <v>16</v>
      </c>
      <c r="P81">
        <v>16</v>
      </c>
      <c r="Q81">
        <v>5</v>
      </c>
      <c r="R81" t="str" cm="1">
        <f t="array" ref="R81">_xlfn.IFS(
    F81&lt;4016, "烂",
    F81&lt;=12047, "常规",
    F81&lt;=27085, "小爆",
    F81&lt;=139426, "爆款",
    F81&lt;=212613, "大爆款",
    F81&gt;=212614, "超大爆款"
)</f>
        <v>烂</v>
      </c>
    </row>
    <row r="82" spans="1:18" hidden="1" x14ac:dyDescent="0.3">
      <c r="A82" t="s">
        <v>824</v>
      </c>
      <c r="B82" s="4" t="s">
        <v>1020</v>
      </c>
      <c r="C82" t="s">
        <v>825</v>
      </c>
      <c r="D82" t="s">
        <v>18</v>
      </c>
      <c r="E82" t="s">
        <v>19</v>
      </c>
      <c r="F82">
        <v>1760</v>
      </c>
      <c r="G82">
        <v>2.5267999999999999E-2</v>
      </c>
      <c r="H82">
        <v>0.25072499999999998</v>
      </c>
      <c r="I82" t="s">
        <v>23</v>
      </c>
      <c r="J82">
        <v>0.49970999999999999</v>
      </c>
      <c r="K82">
        <v>12.385954999999999</v>
      </c>
      <c r="L82">
        <v>20</v>
      </c>
      <c r="M82">
        <v>1</v>
      </c>
      <c r="N82">
        <v>2</v>
      </c>
      <c r="O82">
        <v>3</v>
      </c>
      <c r="P82">
        <v>14</v>
      </c>
      <c r="Q82">
        <v>5</v>
      </c>
      <c r="R82" t="str" cm="1">
        <f t="array" ref="R82">_xlfn.IFS(
    F82&lt;4016, "烂",
    F82&lt;=12047, "常规",
    F82&lt;=27085, "小爆",
    F82&lt;=139426, "爆款",
    F82&lt;=212613, "大爆款",
    F82&gt;=212614, "超大爆款"
)</f>
        <v>烂</v>
      </c>
    </row>
    <row r="83" spans="1:18" hidden="1" x14ac:dyDescent="0.3">
      <c r="A83" t="s">
        <v>831</v>
      </c>
      <c r="B83" s="4" t="s">
        <v>979</v>
      </c>
      <c r="C83" t="s">
        <v>832</v>
      </c>
      <c r="D83" t="s">
        <v>18</v>
      </c>
      <c r="E83" t="s">
        <v>19</v>
      </c>
      <c r="F83">
        <v>1715</v>
      </c>
      <c r="G83">
        <v>0.107692</v>
      </c>
      <c r="H83">
        <v>0.283717</v>
      </c>
      <c r="I83" t="s">
        <v>23</v>
      </c>
      <c r="J83">
        <v>0.455592</v>
      </c>
      <c r="K83">
        <v>22.806743000000001</v>
      </c>
      <c r="L83">
        <v>12</v>
      </c>
      <c r="M83">
        <v>4</v>
      </c>
      <c r="N83">
        <v>1</v>
      </c>
      <c r="O83">
        <v>4</v>
      </c>
      <c r="P83">
        <v>2</v>
      </c>
      <c r="Q83">
        <v>3</v>
      </c>
      <c r="R83" t="str" cm="1">
        <f t="array" ref="R83">_xlfn.IFS(
    F83&lt;4016, "烂",
    F83&lt;=12047, "常规",
    F83&lt;=27085, "小爆",
    F83&lt;=139426, "爆款",
    F83&lt;=212613, "大爆款",
    F83&gt;=212614, "超大爆款"
)</f>
        <v>烂</v>
      </c>
    </row>
    <row r="84" spans="1:18" hidden="1" x14ac:dyDescent="0.3">
      <c r="A84" t="s">
        <v>838</v>
      </c>
      <c r="B84" s="4" t="s">
        <v>978</v>
      </c>
      <c r="C84" t="s">
        <v>839</v>
      </c>
      <c r="D84" t="s">
        <v>18</v>
      </c>
      <c r="E84" t="s">
        <v>19</v>
      </c>
      <c r="F84">
        <v>1043</v>
      </c>
      <c r="G84">
        <v>2.1687000000000001E-2</v>
      </c>
      <c r="H84">
        <v>0.23118900000000001</v>
      </c>
      <c r="I84" t="s">
        <v>23</v>
      </c>
      <c r="J84">
        <v>0.413304</v>
      </c>
      <c r="K84">
        <v>9.5070879999999995</v>
      </c>
      <c r="L84">
        <v>9</v>
      </c>
      <c r="M84">
        <v>2</v>
      </c>
      <c r="N84">
        <v>0</v>
      </c>
      <c r="O84">
        <v>3</v>
      </c>
      <c r="P84">
        <v>2</v>
      </c>
      <c r="Q84">
        <v>2</v>
      </c>
      <c r="R84" t="str" cm="1">
        <f t="array" ref="R84">_xlfn.IFS(
    F84&lt;4016, "烂",
    F84&lt;=12047, "常规",
    F84&lt;=27085, "小爆",
    F84&lt;=139426, "爆款",
    F84&lt;=212613, "大爆款",
    F84&gt;=212614, "超大爆款"
)</f>
        <v>烂</v>
      </c>
    </row>
    <row r="85" spans="1:18" hidden="1" x14ac:dyDescent="0.3">
      <c r="A85" t="s">
        <v>845</v>
      </c>
      <c r="B85" s="4" t="s">
        <v>974</v>
      </c>
      <c r="C85" t="s">
        <v>846</v>
      </c>
      <c r="D85" t="s">
        <v>18</v>
      </c>
      <c r="E85" t="s">
        <v>19</v>
      </c>
      <c r="F85">
        <v>806</v>
      </c>
      <c r="G85">
        <v>2.0039999999999999E-2</v>
      </c>
      <c r="H85">
        <v>0.20985400000000001</v>
      </c>
      <c r="I85" t="s">
        <v>23</v>
      </c>
      <c r="J85">
        <v>0.41240900000000003</v>
      </c>
      <c r="K85">
        <v>11.306569</v>
      </c>
      <c r="L85">
        <v>8</v>
      </c>
      <c r="M85">
        <v>1</v>
      </c>
      <c r="N85">
        <v>0</v>
      </c>
      <c r="O85">
        <v>8</v>
      </c>
      <c r="P85">
        <v>2</v>
      </c>
      <c r="Q85">
        <v>2</v>
      </c>
      <c r="R85" t="str" cm="1">
        <f t="array" ref="R85">_xlfn.IFS(
    F85&lt;4016, "烂",
    F85&lt;=12047, "常规",
    F85&lt;=27085, "小爆",
    F85&lt;=139426, "爆款",
    F85&lt;=212613, "大爆款",
    F85&gt;=212614, "超大爆款"
)</f>
        <v>烂</v>
      </c>
    </row>
    <row r="86" spans="1:18" hidden="1" x14ac:dyDescent="0.3">
      <c r="A86" t="s">
        <v>852</v>
      </c>
      <c r="B86" t="s">
        <v>973</v>
      </c>
      <c r="C86" t="s">
        <v>853</v>
      </c>
      <c r="D86" t="s">
        <v>18</v>
      </c>
      <c r="E86" t="s">
        <v>19</v>
      </c>
      <c r="F86">
        <v>914</v>
      </c>
      <c r="G86">
        <v>4.6233000000000003E-2</v>
      </c>
      <c r="H86">
        <v>0.29321000000000003</v>
      </c>
      <c r="I86" t="s">
        <v>23</v>
      </c>
      <c r="J86">
        <v>0.42438300000000001</v>
      </c>
      <c r="K86">
        <v>15.75</v>
      </c>
      <c r="L86">
        <v>4</v>
      </c>
      <c r="M86">
        <v>0</v>
      </c>
      <c r="N86">
        <v>1</v>
      </c>
      <c r="O86">
        <v>4</v>
      </c>
      <c r="P86">
        <v>4</v>
      </c>
      <c r="Q86">
        <v>1</v>
      </c>
      <c r="R86" t="str" cm="1">
        <f t="array" ref="R86">_xlfn.IFS(
    F86&lt;4016, "烂",
    F86&lt;=12047, "常规",
    F86&lt;=27085, "小爆",
    F86&lt;=139426, "爆款",
    F86&lt;=212613, "大爆款",
    F86&gt;=212614, "超大爆款"
)</f>
        <v>烂</v>
      </c>
    </row>
    <row r="87" spans="1:18" ht="16.5" hidden="1" x14ac:dyDescent="0.3">
      <c r="A87" s="5" t="s">
        <v>970</v>
      </c>
      <c r="B87" s="5" t="s">
        <v>977</v>
      </c>
      <c r="C87" t="s">
        <v>860</v>
      </c>
      <c r="D87" t="s">
        <v>18</v>
      </c>
      <c r="E87" t="s">
        <v>19</v>
      </c>
      <c r="F87">
        <v>2406</v>
      </c>
      <c r="G87">
        <v>0.20988899999999999</v>
      </c>
      <c r="H87">
        <v>0.45074900000000001</v>
      </c>
      <c r="I87" t="s">
        <v>23</v>
      </c>
      <c r="J87">
        <v>0.31205699999999997</v>
      </c>
      <c r="K87">
        <v>32.583136000000003</v>
      </c>
      <c r="L87">
        <v>59</v>
      </c>
      <c r="M87">
        <v>13</v>
      </c>
      <c r="N87">
        <v>5</v>
      </c>
      <c r="O87">
        <v>51</v>
      </c>
      <c r="P87">
        <v>20</v>
      </c>
      <c r="Q87">
        <v>6</v>
      </c>
      <c r="R87" t="str" cm="1">
        <f t="array" ref="R87">_xlfn.IFS(
    F87&lt;4016, "烂",
    F87&lt;=12047, "常规",
    F87&lt;=27085, "小爆",
    F87&lt;=139426, "爆款",
    F87&lt;=212613, "大爆款",
    F87&gt;=212614, "超大爆款"
)</f>
        <v>烂</v>
      </c>
    </row>
    <row r="88" spans="1:18" hidden="1" x14ac:dyDescent="0.3">
      <c r="A88" t="s">
        <v>867</v>
      </c>
      <c r="B88" s="4" t="s">
        <v>976</v>
      </c>
      <c r="C88" t="s">
        <v>868</v>
      </c>
      <c r="D88" t="s">
        <v>18</v>
      </c>
      <c r="E88" t="s">
        <v>19</v>
      </c>
      <c r="F88">
        <v>2927</v>
      </c>
      <c r="G88">
        <v>0.14982899999999999</v>
      </c>
      <c r="H88">
        <v>0.47656700000000002</v>
      </c>
      <c r="I88" t="s">
        <v>23</v>
      </c>
      <c r="J88">
        <v>0.298844</v>
      </c>
      <c r="K88">
        <v>31.103469</v>
      </c>
      <c r="L88">
        <v>72</v>
      </c>
      <c r="M88">
        <v>6</v>
      </c>
      <c r="N88">
        <v>4</v>
      </c>
      <c r="O88">
        <v>47</v>
      </c>
      <c r="P88">
        <v>22</v>
      </c>
      <c r="Q88">
        <v>9</v>
      </c>
      <c r="R88" t="str" cm="1">
        <f t="array" ref="R88">_xlfn.IFS(
    F88&lt;4016, "烂",
    F88&lt;=12047, "常规",
    F88&lt;=27085, "小爆",
    F88&lt;=139426, "爆款",
    F88&lt;=212613, "大爆款",
    F88&gt;=212614, "超大爆款"
)</f>
        <v>烂</v>
      </c>
    </row>
    <row r="89" spans="1:18" hidden="1" x14ac:dyDescent="0.3">
      <c r="A89" t="s">
        <v>874</v>
      </c>
      <c r="B89" s="4" t="s">
        <v>975</v>
      </c>
      <c r="C89" t="s">
        <v>875</v>
      </c>
      <c r="D89" t="s">
        <v>95</v>
      </c>
      <c r="E89" t="s">
        <v>19</v>
      </c>
      <c r="F89">
        <v>3604</v>
      </c>
      <c r="G89">
        <v>8.4765999999999994E-2</v>
      </c>
      <c r="H89">
        <v>0.377863</v>
      </c>
      <c r="I89">
        <v>1</v>
      </c>
      <c r="J89">
        <v>0.28860799999999998</v>
      </c>
      <c r="K89">
        <v>32.936875999999998</v>
      </c>
      <c r="L89">
        <v>156</v>
      </c>
      <c r="M89">
        <v>48</v>
      </c>
      <c r="N89">
        <v>8</v>
      </c>
      <c r="O89">
        <v>139</v>
      </c>
      <c r="P89">
        <v>47</v>
      </c>
      <c r="Q89">
        <v>23</v>
      </c>
      <c r="R89" t="str" cm="1">
        <f t="array" ref="R89">_xlfn.IFS(
    F89&lt;4016, "烂",
    F89&lt;=12047, "常规",
    F89&lt;=27085, "小爆",
    F89&lt;=139426, "爆款",
    F89&lt;=212613, "大爆款",
    F89&gt;=212614, "超大爆款"
)</f>
        <v>烂</v>
      </c>
    </row>
  </sheetData>
  <autoFilter ref="R1:R89" xr:uid="{D60BFEF0-B91B-4FEF-BD9C-6ED953C3FE11}">
    <filterColumn colId="0">
      <filters>
        <filter val="爆款"/>
        <filter val="超大爆款"/>
        <filter val="大爆款"/>
      </filters>
    </filterColumn>
  </autoFilter>
  <phoneticPr fontId="1" type="noConversion"/>
  <conditionalFormatting sqref="A77 C77:Q77">
    <cfRule type="cellIs" dxfId="18" priority="21" operator="equal">
      <formula>"小爆"</formula>
    </cfRule>
  </conditionalFormatting>
  <conditionalFormatting sqref="R1:R1048576">
    <cfRule type="cellIs" dxfId="17" priority="1" operator="equal">
      <formula>"烂"</formula>
    </cfRule>
    <cfRule type="cellIs" dxfId="16" priority="2" operator="equal">
      <formula>"超大爆款"</formula>
    </cfRule>
    <cfRule type="cellIs" dxfId="15" priority="3" operator="equal">
      <formula>"大爆款"</formula>
    </cfRule>
    <cfRule type="cellIs" dxfId="14" priority="4" operator="equal">
      <formula>"爆款"</formula>
    </cfRule>
    <cfRule type="cellIs" dxfId="13" priority="5" operator="equal">
      <formula>"小爆"</formula>
    </cfRule>
  </conditionalFormatting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72F0-FC08-4DFB-B405-964281D4CE10}">
  <dimension ref="A1:O44"/>
  <sheetViews>
    <sheetView tabSelected="1" zoomScale="85" zoomScaleNormal="85" workbookViewId="0">
      <selection activeCell="O2" sqref="O2"/>
    </sheetView>
  </sheetViews>
  <sheetFormatPr defaultRowHeight="15" x14ac:dyDescent="0.3"/>
  <cols>
    <col min="1" max="1" width="28.53125" customWidth="1"/>
    <col min="2" max="2" width="9.33203125" bestFit="1" customWidth="1"/>
    <col min="3" max="3" width="21.796875" bestFit="1" customWidth="1"/>
    <col min="4" max="5" width="5.33203125" bestFit="1" customWidth="1"/>
    <col min="6" max="6" width="7.33203125" bestFit="1" customWidth="1"/>
    <col min="7" max="7" width="11.3984375" bestFit="1" customWidth="1"/>
    <col min="8" max="12" width="5.33203125" bestFit="1" customWidth="1"/>
    <col min="13" max="13" width="13.59765625" bestFit="1" customWidth="1"/>
    <col min="14" max="14" width="5.33203125" bestFit="1" customWidth="1"/>
  </cols>
  <sheetData>
    <row r="1" spans="1:15" ht="17.5" x14ac:dyDescent="0.3">
      <c r="A1" s="2" t="s">
        <v>892</v>
      </c>
      <c r="B1" s="2" t="s">
        <v>1055</v>
      </c>
      <c r="C1" s="2" t="s">
        <v>893</v>
      </c>
      <c r="D1" s="2" t="s">
        <v>2</v>
      </c>
      <c r="E1" s="2" t="s">
        <v>883</v>
      </c>
      <c r="F1" s="2" t="s">
        <v>884</v>
      </c>
      <c r="G1" s="2" t="s">
        <v>7</v>
      </c>
      <c r="H1" s="2" t="s">
        <v>885</v>
      </c>
      <c r="I1" s="2" t="s">
        <v>886</v>
      </c>
      <c r="J1" s="2" t="s">
        <v>887</v>
      </c>
      <c r="K1" s="2" t="s">
        <v>888</v>
      </c>
      <c r="L1" s="2" t="s">
        <v>889</v>
      </c>
      <c r="M1" s="2" t="s">
        <v>890</v>
      </c>
      <c r="N1" s="2" t="s">
        <v>891</v>
      </c>
    </row>
    <row r="2" spans="1:15" x14ac:dyDescent="0.35">
      <c r="A2" s="12" t="s">
        <v>1115</v>
      </c>
      <c r="B2" s="4" t="s">
        <v>1117</v>
      </c>
      <c r="C2" s="12" t="s">
        <v>1116</v>
      </c>
      <c r="D2" s="12" t="s">
        <v>896</v>
      </c>
      <c r="E2" s="12">
        <v>69592</v>
      </c>
      <c r="F2" s="12">
        <v>57833</v>
      </c>
      <c r="G2" s="12">
        <v>5.1999999999999998E-2</v>
      </c>
      <c r="H2" s="12">
        <v>5177</v>
      </c>
      <c r="I2" s="12">
        <v>17</v>
      </c>
      <c r="J2" s="12">
        <v>4885</v>
      </c>
      <c r="K2" s="12">
        <v>272</v>
      </c>
      <c r="L2" s="12">
        <v>294</v>
      </c>
      <c r="M2" s="12">
        <v>23</v>
      </c>
      <c r="N2" s="12">
        <v>0</v>
      </c>
      <c r="O2" t="str" cm="1">
        <f t="array" ref="O2">_xlfn.IFS(
    F2&lt;349, "烂",
    F2&lt;=700, "常规",
    F2&lt;=1045, "小爆",
    F2&lt;=2980, "爆款",
    F2&lt;=26973, "大爆款",
    F2&gt;=26974, "超大爆款"
)</f>
        <v>超大爆款</v>
      </c>
    </row>
    <row r="3" spans="1:15" x14ac:dyDescent="0.35">
      <c r="A3" s="3" t="s">
        <v>1113</v>
      </c>
      <c r="B3" s="4" t="s">
        <v>1112</v>
      </c>
      <c r="C3" s="3" t="s">
        <v>1114</v>
      </c>
      <c r="D3" s="3" t="s">
        <v>896</v>
      </c>
      <c r="E3" s="3">
        <v>261</v>
      </c>
      <c r="F3" s="3">
        <v>141</v>
      </c>
      <c r="G3" s="3">
        <v>0.17899999999999999</v>
      </c>
      <c r="H3" s="3">
        <v>14</v>
      </c>
      <c r="I3" s="3">
        <v>1</v>
      </c>
      <c r="J3" s="3">
        <v>15</v>
      </c>
      <c r="K3" s="3">
        <v>0</v>
      </c>
      <c r="L3" s="3">
        <v>0</v>
      </c>
      <c r="M3" s="3">
        <v>112</v>
      </c>
      <c r="N3" s="3">
        <v>0</v>
      </c>
      <c r="O3" t="str" cm="1">
        <f t="array" ref="O3">_xlfn.IFS(
    F3&lt;349, "烂",
    F3&lt;=700, "常规",
    F3&lt;=1045, "小爆",
    F3&lt;=2980, "爆款",
    F3&lt;=26973, "大爆款",
    F3&gt;=26974, "超大爆款"
)</f>
        <v>烂</v>
      </c>
    </row>
    <row r="4" spans="1:15" x14ac:dyDescent="0.35">
      <c r="A4" s="3" t="s">
        <v>1105</v>
      </c>
      <c r="B4" s="4" t="s">
        <v>1107</v>
      </c>
      <c r="C4" s="3" t="s">
        <v>1106</v>
      </c>
      <c r="D4" s="3" t="s">
        <v>896</v>
      </c>
      <c r="E4" s="3">
        <v>42922</v>
      </c>
      <c r="F4" s="3">
        <v>8247</v>
      </c>
      <c r="G4" s="3">
        <v>0.11600000000000001</v>
      </c>
      <c r="H4" s="3">
        <v>613</v>
      </c>
      <c r="I4" s="3">
        <v>54</v>
      </c>
      <c r="J4" s="3">
        <v>489</v>
      </c>
      <c r="K4" s="3">
        <v>68</v>
      </c>
      <c r="L4" s="3">
        <v>29</v>
      </c>
      <c r="M4" s="3">
        <v>38</v>
      </c>
      <c r="N4" s="3">
        <v>0</v>
      </c>
      <c r="O4" t="str" cm="1">
        <f t="array" ref="O4">_xlfn.IFS(
    F4&lt;349, "烂",
    F4&lt;=700, "常规",
    F4&lt;=1045, "小爆",
    F4&lt;=2980, "爆款",
    F4&lt;=26973, "大爆款",
    F4&gt;=26974, "超大爆款"
)</f>
        <v>大爆款</v>
      </c>
    </row>
    <row r="5" spans="1:15" x14ac:dyDescent="0.35">
      <c r="A5" s="3" t="s">
        <v>1102</v>
      </c>
      <c r="B5" s="4" t="s">
        <v>1100</v>
      </c>
      <c r="C5" s="3" t="s">
        <v>1103</v>
      </c>
      <c r="D5" s="3" t="s">
        <v>896</v>
      </c>
      <c r="E5" s="3">
        <v>2052</v>
      </c>
      <c r="F5" s="3">
        <v>450</v>
      </c>
      <c r="G5" s="3">
        <v>0.1</v>
      </c>
      <c r="H5" s="3">
        <v>39</v>
      </c>
      <c r="I5" s="3">
        <v>2</v>
      </c>
      <c r="J5" s="3">
        <v>35</v>
      </c>
      <c r="K5" s="3">
        <v>6</v>
      </c>
      <c r="L5" s="3">
        <v>4</v>
      </c>
      <c r="M5" s="3">
        <v>50</v>
      </c>
      <c r="N5" s="3">
        <v>0</v>
      </c>
      <c r="O5" t="str" cm="1">
        <f t="array" ref="O5">_xlfn.IFS(
    F5&lt;349, "烂",
    F5&lt;=700, "常规",
    F5&lt;=1045, "小爆",
    F5&lt;=2980, "爆款",
    F5&lt;=26973, "大爆款",
    F5&gt;=26974, "超大爆款"
)</f>
        <v>常规</v>
      </c>
    </row>
    <row r="6" spans="1:15" x14ac:dyDescent="0.35">
      <c r="A6" s="3" t="s">
        <v>1062</v>
      </c>
      <c r="B6" s="4" t="s">
        <v>1061</v>
      </c>
      <c r="C6" s="3" t="s">
        <v>1063</v>
      </c>
      <c r="D6" s="3" t="s">
        <v>896</v>
      </c>
      <c r="E6" s="3">
        <v>369</v>
      </c>
      <c r="F6" s="3">
        <v>102</v>
      </c>
      <c r="G6" s="3">
        <v>5.5E-2</v>
      </c>
      <c r="H6" s="3">
        <v>7</v>
      </c>
      <c r="I6" s="3">
        <v>0</v>
      </c>
      <c r="J6" s="3">
        <v>2</v>
      </c>
      <c r="K6" s="3">
        <v>0</v>
      </c>
      <c r="L6" s="3">
        <v>0</v>
      </c>
      <c r="M6" s="3">
        <v>12</v>
      </c>
      <c r="N6" s="3">
        <v>0</v>
      </c>
      <c r="O6" t="str" cm="1">
        <f t="array" ref="O6">_xlfn.IFS(
    F6&lt;349, "烂",
    F6&lt;=700, "常规",
    F6&lt;=1045, "小爆",
    F6&lt;=2980, "爆款",
    F6&lt;=26973, "大爆款",
    F6&gt;=26974, "超大爆款"
)</f>
        <v>烂</v>
      </c>
    </row>
    <row r="7" spans="1:15" x14ac:dyDescent="0.35">
      <c r="A7" s="3" t="s">
        <v>1064</v>
      </c>
      <c r="B7" s="4" t="s">
        <v>1060</v>
      </c>
      <c r="C7" s="3" t="s">
        <v>1065</v>
      </c>
      <c r="D7" s="3" t="s">
        <v>896</v>
      </c>
      <c r="E7" s="3">
        <v>935</v>
      </c>
      <c r="F7" s="3">
        <v>177</v>
      </c>
      <c r="G7" s="3">
        <v>3.6999999999999998E-2</v>
      </c>
      <c r="H7" s="3">
        <v>23</v>
      </c>
      <c r="I7" s="3">
        <v>0</v>
      </c>
      <c r="J7" s="3">
        <v>4</v>
      </c>
      <c r="K7" s="3">
        <v>0</v>
      </c>
      <c r="L7" s="3">
        <v>0</v>
      </c>
      <c r="M7" s="3">
        <v>55</v>
      </c>
      <c r="N7" s="3">
        <v>0</v>
      </c>
      <c r="O7" t="str" cm="1">
        <f t="array" ref="O7">_xlfn.IFS(
    F7&lt;349, "烂",
    F7&lt;=700, "常规",
    F7&lt;=1045, "小爆",
    F7&lt;=2980, "爆款",
    F7&lt;=26973, "大爆款",
    F7&gt;=26974, "超大爆款"
)</f>
        <v>烂</v>
      </c>
    </row>
    <row r="8" spans="1:15" x14ac:dyDescent="0.35">
      <c r="A8" s="3" t="s">
        <v>894</v>
      </c>
      <c r="B8" s="4" t="s">
        <v>1066</v>
      </c>
      <c r="C8" s="3" t="s">
        <v>895</v>
      </c>
      <c r="D8" s="3" t="s">
        <v>896</v>
      </c>
      <c r="E8" s="3">
        <v>408</v>
      </c>
      <c r="F8" s="3">
        <v>143</v>
      </c>
      <c r="G8" s="3">
        <v>6.8000000000000005E-2</v>
      </c>
      <c r="H8" s="3">
        <v>9</v>
      </c>
      <c r="I8" s="3">
        <v>0</v>
      </c>
      <c r="J8" s="3">
        <v>2</v>
      </c>
      <c r="K8" s="3">
        <v>0</v>
      </c>
      <c r="L8" s="3">
        <v>0</v>
      </c>
      <c r="M8" s="3">
        <v>4</v>
      </c>
      <c r="N8" s="3">
        <v>0</v>
      </c>
      <c r="O8" t="str" cm="1">
        <f t="array" ref="O8">_xlfn.IFS(
    F8&lt;349, "烂",
    F8&lt;=700, "常规",
    F8&lt;=1045, "小爆",
    F8&lt;=2980, "爆款",
    F8&lt;=26973, "大爆款",
    F8&gt;=26974, "超大爆款"
)</f>
        <v>烂</v>
      </c>
    </row>
    <row r="9" spans="1:15" x14ac:dyDescent="0.35">
      <c r="A9" s="3" t="s">
        <v>897</v>
      </c>
      <c r="B9" s="4" t="s">
        <v>1067</v>
      </c>
      <c r="C9" s="3" t="s">
        <v>898</v>
      </c>
      <c r="D9" s="3" t="s">
        <v>896</v>
      </c>
      <c r="E9" s="3">
        <v>1357</v>
      </c>
      <c r="F9" s="3">
        <v>330</v>
      </c>
      <c r="G9" s="3">
        <v>6.9000000000000006E-2</v>
      </c>
      <c r="H9" s="3">
        <v>32</v>
      </c>
      <c r="I9" s="3">
        <v>1</v>
      </c>
      <c r="J9" s="3">
        <v>18</v>
      </c>
      <c r="K9" s="3">
        <v>0</v>
      </c>
      <c r="L9" s="3">
        <v>0</v>
      </c>
      <c r="M9" s="3">
        <v>45</v>
      </c>
      <c r="N9" s="3">
        <v>0</v>
      </c>
      <c r="O9" t="str" cm="1">
        <f t="array" ref="O9">_xlfn.IFS(
    F9&lt;349, "烂",
    F9&lt;=700, "常规",
    F9&lt;=1045, "小爆",
    F9&lt;=2980, "爆款",
    F9&lt;=26973, "大爆款",
    F9&gt;=26974, "超大爆款"
)</f>
        <v>烂</v>
      </c>
    </row>
    <row r="10" spans="1:15" x14ac:dyDescent="0.35">
      <c r="A10" s="3" t="s">
        <v>899</v>
      </c>
      <c r="B10" s="4" t="s">
        <v>1068</v>
      </c>
      <c r="C10" s="3" t="s">
        <v>900</v>
      </c>
      <c r="D10" s="3" t="s">
        <v>896</v>
      </c>
      <c r="E10" s="3">
        <v>1152</v>
      </c>
      <c r="F10" s="3">
        <v>541</v>
      </c>
      <c r="G10" s="3">
        <v>5.3999999999999999E-2</v>
      </c>
      <c r="H10" s="3">
        <v>64</v>
      </c>
      <c r="I10" s="3">
        <v>0</v>
      </c>
      <c r="J10" s="3">
        <v>71</v>
      </c>
      <c r="K10" s="3">
        <v>7</v>
      </c>
      <c r="L10" s="3">
        <v>4</v>
      </c>
      <c r="M10" s="3">
        <v>28</v>
      </c>
      <c r="N10" s="3">
        <v>0</v>
      </c>
      <c r="O10" t="str" cm="1">
        <f t="array" ref="O10">_xlfn.IFS(
    F10&lt;349, "烂",
    F10&lt;=700, "常规",
    F10&lt;=1045, "小爆",
    F10&lt;=2980, "爆款",
    F10&lt;=26973, "大爆款",
    F10&gt;=26974, "超大爆款"
)</f>
        <v>常规</v>
      </c>
    </row>
    <row r="11" spans="1:15" x14ac:dyDescent="0.35">
      <c r="A11" s="3" t="s">
        <v>901</v>
      </c>
      <c r="B11" s="4" t="s">
        <v>1069</v>
      </c>
      <c r="C11" s="3" t="s">
        <v>902</v>
      </c>
      <c r="D11" s="3" t="s">
        <v>896</v>
      </c>
      <c r="E11" s="3">
        <v>682</v>
      </c>
      <c r="F11" s="3">
        <v>185</v>
      </c>
      <c r="G11" s="3">
        <v>3.7999999999999999E-2</v>
      </c>
      <c r="H11" s="3">
        <v>21</v>
      </c>
      <c r="I11" s="3">
        <v>0</v>
      </c>
      <c r="J11" s="3">
        <v>15</v>
      </c>
      <c r="K11" s="3">
        <v>0</v>
      </c>
      <c r="L11" s="3">
        <v>0</v>
      </c>
      <c r="M11" s="3">
        <v>7</v>
      </c>
      <c r="N11" s="3">
        <v>0</v>
      </c>
      <c r="O11" t="str" cm="1">
        <f t="array" ref="O11">_xlfn.IFS(
    F11&lt;349, "烂",
    F11&lt;=700, "常规",
    F11&lt;=1045, "小爆",
    F11&lt;=2980, "爆款",
    F11&lt;=26973, "大爆款",
    F11&gt;=26974, "超大爆款"
)</f>
        <v>烂</v>
      </c>
    </row>
    <row r="12" spans="1:15" x14ac:dyDescent="0.35">
      <c r="A12" s="3" t="s">
        <v>903</v>
      </c>
      <c r="B12" s="4" t="s">
        <v>1070</v>
      </c>
      <c r="C12" s="3" t="s">
        <v>904</v>
      </c>
      <c r="D12" s="3" t="s">
        <v>896</v>
      </c>
      <c r="E12" s="3">
        <v>2058</v>
      </c>
      <c r="F12" s="3">
        <v>195</v>
      </c>
      <c r="G12" s="3">
        <v>3.1E-2</v>
      </c>
      <c r="H12" s="3">
        <v>9</v>
      </c>
      <c r="I12" s="3">
        <v>1</v>
      </c>
      <c r="J12" s="3">
        <v>3</v>
      </c>
      <c r="K12" s="3">
        <v>0</v>
      </c>
      <c r="L12" s="3">
        <v>0</v>
      </c>
      <c r="M12" s="3">
        <v>83</v>
      </c>
      <c r="N12" s="3">
        <v>0</v>
      </c>
      <c r="O12" t="str" cm="1">
        <f t="array" ref="O12">_xlfn.IFS(
    F12&lt;349, "烂",
    F12&lt;=700, "常规",
    F12&lt;=1045, "小爆",
    F12&lt;=2980, "爆款",
    F12&lt;=26973, "大爆款",
    F12&gt;=26974, "超大爆款"
)</f>
        <v>烂</v>
      </c>
    </row>
    <row r="13" spans="1:15" x14ac:dyDescent="0.35">
      <c r="A13" s="3" t="s">
        <v>905</v>
      </c>
      <c r="B13" s="4" t="s">
        <v>1071</v>
      </c>
      <c r="C13" s="3" t="s">
        <v>906</v>
      </c>
      <c r="D13" s="3" t="s">
        <v>896</v>
      </c>
      <c r="E13" s="3">
        <v>603</v>
      </c>
      <c r="F13" s="3">
        <v>196</v>
      </c>
      <c r="G13" s="3">
        <v>2.3E-2</v>
      </c>
      <c r="H13" s="3">
        <v>15</v>
      </c>
      <c r="I13" s="3">
        <v>0</v>
      </c>
      <c r="J13" s="3">
        <v>15</v>
      </c>
      <c r="K13" s="3">
        <v>1</v>
      </c>
      <c r="L13" s="3">
        <v>3</v>
      </c>
      <c r="M13" s="3">
        <v>10</v>
      </c>
      <c r="N13" s="3">
        <v>0</v>
      </c>
      <c r="O13" t="str" cm="1">
        <f t="array" ref="O13">_xlfn.IFS(
    F13&lt;349, "烂",
    F13&lt;=700, "常规",
    F13&lt;=1045, "小爆",
    F13&lt;=2980, "爆款",
    F13&lt;=26973, "大爆款",
    F13&gt;=26974, "超大爆款"
)</f>
        <v>烂</v>
      </c>
    </row>
    <row r="14" spans="1:15" x14ac:dyDescent="0.35">
      <c r="A14" s="3" t="s">
        <v>907</v>
      </c>
      <c r="B14" s="4" t="s">
        <v>1072</v>
      </c>
      <c r="C14" s="3" t="s">
        <v>908</v>
      </c>
      <c r="D14" s="3" t="s">
        <v>896</v>
      </c>
      <c r="E14" s="3">
        <v>3002</v>
      </c>
      <c r="F14" s="3">
        <v>411</v>
      </c>
      <c r="G14" s="3">
        <v>7.3999999999999996E-2</v>
      </c>
      <c r="H14" s="3">
        <v>25</v>
      </c>
      <c r="I14" s="3">
        <v>2</v>
      </c>
      <c r="J14" s="3">
        <v>16</v>
      </c>
      <c r="K14" s="3">
        <v>3</v>
      </c>
      <c r="L14" s="3">
        <v>0</v>
      </c>
      <c r="M14" s="3">
        <v>86</v>
      </c>
      <c r="N14" s="3">
        <v>0</v>
      </c>
      <c r="O14" t="str" cm="1">
        <f t="array" ref="O14">_xlfn.IFS(
    F14&lt;349, "烂",
    F14&lt;=700, "常规",
    F14&lt;=1045, "小爆",
    F14&lt;=2980, "爆款",
    F14&lt;=26973, "大爆款",
    F14&gt;=26974, "超大爆款"
)</f>
        <v>常规</v>
      </c>
    </row>
    <row r="15" spans="1:15" x14ac:dyDescent="0.35">
      <c r="A15" s="3" t="s">
        <v>909</v>
      </c>
      <c r="B15" s="4" t="s">
        <v>1073</v>
      </c>
      <c r="C15" s="3" t="s">
        <v>910</v>
      </c>
      <c r="D15" s="3" t="s">
        <v>896</v>
      </c>
      <c r="E15" s="3">
        <v>2693</v>
      </c>
      <c r="F15" s="3">
        <v>1985</v>
      </c>
      <c r="G15" s="3">
        <v>5.0999999999999997E-2</v>
      </c>
      <c r="H15" s="3">
        <v>95</v>
      </c>
      <c r="I15" s="3">
        <v>2</v>
      </c>
      <c r="J15" s="3">
        <v>157</v>
      </c>
      <c r="K15" s="3">
        <v>22</v>
      </c>
      <c r="L15" s="3">
        <v>14</v>
      </c>
      <c r="M15" s="3">
        <v>15</v>
      </c>
      <c r="N15" s="3">
        <v>0</v>
      </c>
      <c r="O15" t="str" cm="1">
        <f t="array" ref="O15">_xlfn.IFS(
    F15&lt;349, "烂",
    F15&lt;=700, "常规",
    F15&lt;=1045, "小爆",
    F15&lt;=2980, "爆款",
    F15&lt;=26973, "大爆款",
    F15&gt;=26974, "超大爆款"
)</f>
        <v>爆款</v>
      </c>
    </row>
    <row r="16" spans="1:15" x14ac:dyDescent="0.35">
      <c r="A16" s="3" t="s">
        <v>909</v>
      </c>
      <c r="B16" s="4" t="s">
        <v>1072</v>
      </c>
      <c r="C16" s="3" t="s">
        <v>911</v>
      </c>
      <c r="D16" s="3" t="s">
        <v>896</v>
      </c>
      <c r="E16" s="3">
        <v>7985</v>
      </c>
      <c r="F16" s="3">
        <v>7125</v>
      </c>
      <c r="G16" s="3">
        <v>5.1999999999999998E-2</v>
      </c>
      <c r="H16" s="3">
        <v>342</v>
      </c>
      <c r="I16" s="3">
        <v>11</v>
      </c>
      <c r="J16" s="3">
        <v>550</v>
      </c>
      <c r="K16" s="3">
        <v>52</v>
      </c>
      <c r="L16" s="3">
        <v>24</v>
      </c>
      <c r="M16" s="3">
        <v>84</v>
      </c>
      <c r="N16" s="3">
        <v>0</v>
      </c>
      <c r="O16" t="str" cm="1">
        <f t="array" ref="O16">_xlfn.IFS(
    F16&lt;349, "烂",
    F16&lt;=700, "常规",
    F16&lt;=1045, "小爆",
    F16&lt;=2980, "爆款",
    F16&lt;=26973, "大爆款",
    F16&gt;=26974, "超大爆款"
)</f>
        <v>大爆款</v>
      </c>
    </row>
    <row r="17" spans="1:15" x14ac:dyDescent="0.35">
      <c r="A17" s="3" t="s">
        <v>912</v>
      </c>
      <c r="B17" s="4" t="s">
        <v>1074</v>
      </c>
      <c r="C17" s="3" t="s">
        <v>913</v>
      </c>
      <c r="D17" s="3" t="s">
        <v>896</v>
      </c>
      <c r="E17" s="3">
        <v>4256</v>
      </c>
      <c r="F17" s="3">
        <v>605</v>
      </c>
      <c r="G17" s="3">
        <v>3.9E-2</v>
      </c>
      <c r="H17" s="3">
        <v>38</v>
      </c>
      <c r="I17" s="3">
        <v>3</v>
      </c>
      <c r="J17" s="3">
        <v>29</v>
      </c>
      <c r="K17" s="3">
        <v>2</v>
      </c>
      <c r="L17" s="3">
        <v>4</v>
      </c>
      <c r="M17" s="3">
        <v>30</v>
      </c>
      <c r="N17" s="3">
        <v>0</v>
      </c>
      <c r="O17" t="str" cm="1">
        <f t="array" ref="O17">_xlfn.IFS(
    F17&lt;349, "烂",
    F17&lt;=700, "常规",
    F17&lt;=1045, "小爆",
    F17&lt;=2980, "爆款",
    F17&lt;=26973, "大爆款",
    F17&gt;=26974, "超大爆款"
)</f>
        <v>常规</v>
      </c>
    </row>
    <row r="18" spans="1:15" x14ac:dyDescent="0.35">
      <c r="A18" s="3" t="s">
        <v>914</v>
      </c>
      <c r="B18" s="4" t="s">
        <v>1075</v>
      </c>
      <c r="C18" s="3" t="s">
        <v>915</v>
      </c>
      <c r="D18" s="3" t="s">
        <v>896</v>
      </c>
      <c r="E18" s="3">
        <v>1008</v>
      </c>
      <c r="F18" s="3">
        <v>162</v>
      </c>
      <c r="G18" s="3">
        <v>7.1999999999999995E-2</v>
      </c>
      <c r="H18" s="3">
        <v>8</v>
      </c>
      <c r="I18" s="3">
        <v>0</v>
      </c>
      <c r="J18" s="3">
        <v>2</v>
      </c>
      <c r="K18" s="3">
        <v>0</v>
      </c>
      <c r="L18" s="3">
        <v>1</v>
      </c>
      <c r="M18" s="3">
        <v>5</v>
      </c>
      <c r="N18" s="3">
        <v>0</v>
      </c>
      <c r="O18" t="str" cm="1">
        <f t="array" ref="O18">_xlfn.IFS(
    F18&lt;349, "烂",
    F18&lt;=700, "常规",
    F18&lt;=1045, "小爆",
    F18&lt;=2980, "爆款",
    F18&lt;=26973, "大爆款",
    F18&gt;=26974, "超大爆款"
)</f>
        <v>烂</v>
      </c>
    </row>
    <row r="19" spans="1:15" x14ac:dyDescent="0.35">
      <c r="A19" s="3" t="s">
        <v>916</v>
      </c>
      <c r="B19" s="8" t="s">
        <v>1076</v>
      </c>
      <c r="C19" s="3" t="s">
        <v>917</v>
      </c>
      <c r="D19" s="3" t="s">
        <v>896</v>
      </c>
      <c r="E19" s="3">
        <v>1319</v>
      </c>
      <c r="F19" s="3">
        <v>406</v>
      </c>
      <c r="G19" s="3">
        <v>3.9E-2</v>
      </c>
      <c r="H19" s="3">
        <v>4</v>
      </c>
      <c r="I19" s="3">
        <v>0</v>
      </c>
      <c r="J19" s="3">
        <v>0</v>
      </c>
      <c r="K19" s="3">
        <v>1</v>
      </c>
      <c r="L19" s="3">
        <v>0</v>
      </c>
      <c r="M19" s="3">
        <v>18</v>
      </c>
      <c r="N19" s="3">
        <v>0</v>
      </c>
      <c r="O19" s="9" t="s">
        <v>1096</v>
      </c>
    </row>
    <row r="20" spans="1:15" x14ac:dyDescent="0.35">
      <c r="A20" s="3" t="s">
        <v>918</v>
      </c>
      <c r="B20" s="4" t="s">
        <v>1077</v>
      </c>
      <c r="C20" s="3" t="s">
        <v>919</v>
      </c>
      <c r="D20" s="3" t="s">
        <v>896</v>
      </c>
      <c r="E20" s="3">
        <v>958</v>
      </c>
      <c r="F20" s="3">
        <v>204</v>
      </c>
      <c r="G20" s="3">
        <v>5.3999999999999999E-2</v>
      </c>
      <c r="H20" s="3">
        <v>11</v>
      </c>
      <c r="I20" s="3">
        <v>0</v>
      </c>
      <c r="J20" s="3">
        <v>5</v>
      </c>
      <c r="K20" s="3">
        <v>3</v>
      </c>
      <c r="L20" s="3">
        <v>2</v>
      </c>
      <c r="M20" s="3">
        <v>7</v>
      </c>
      <c r="N20" s="3">
        <v>0</v>
      </c>
      <c r="O20" t="str" cm="1">
        <f t="array" ref="O20">_xlfn.IFS(
    F20&lt;349, "烂",
    F20&lt;=700, "常规",
    F20&lt;=1045, "小爆",
    F20&lt;=2980, "爆款",
    F20&lt;=26973, "大爆款",
    F20&gt;=26974, "超大爆款"
)</f>
        <v>烂</v>
      </c>
    </row>
    <row r="21" spans="1:15" x14ac:dyDescent="0.35">
      <c r="A21" s="3" t="s">
        <v>920</v>
      </c>
      <c r="B21" s="4" t="s">
        <v>1078</v>
      </c>
      <c r="C21" s="3" t="s">
        <v>921</v>
      </c>
      <c r="D21" s="3" t="s">
        <v>896</v>
      </c>
      <c r="E21" s="3">
        <v>953</v>
      </c>
      <c r="F21" s="3">
        <v>307</v>
      </c>
      <c r="G21" s="3">
        <v>0.111</v>
      </c>
      <c r="H21" s="3">
        <v>13</v>
      </c>
      <c r="I21" s="3">
        <v>0</v>
      </c>
      <c r="J21" s="3">
        <v>10</v>
      </c>
      <c r="K21" s="3">
        <v>0</v>
      </c>
      <c r="L21" s="3">
        <v>0</v>
      </c>
      <c r="M21" s="3">
        <v>26</v>
      </c>
      <c r="N21" s="3">
        <v>0</v>
      </c>
      <c r="O21" t="str" cm="1">
        <f t="array" ref="O21">_xlfn.IFS(
    F21&lt;349, "烂",
    F21&lt;=700, "常规",
    F21&lt;=1045, "小爆",
    F21&lt;=2980, "爆款",
    F21&lt;=26973, "大爆款",
    F21&gt;=26974, "超大爆款"
)</f>
        <v>烂</v>
      </c>
    </row>
    <row r="22" spans="1:15" x14ac:dyDescent="0.35">
      <c r="A22" s="3" t="s">
        <v>922</v>
      </c>
      <c r="B22" s="4" t="s">
        <v>1079</v>
      </c>
      <c r="C22" s="3" t="s">
        <v>923</v>
      </c>
      <c r="D22" s="3" t="s">
        <v>896</v>
      </c>
      <c r="E22" s="3">
        <v>88239</v>
      </c>
      <c r="F22" s="3">
        <v>51234</v>
      </c>
      <c r="G22" s="3">
        <v>5.8999999999999997E-2</v>
      </c>
      <c r="H22" s="3">
        <v>3316</v>
      </c>
      <c r="I22" s="3">
        <v>20</v>
      </c>
      <c r="J22" s="3">
        <v>3233</v>
      </c>
      <c r="K22" s="3">
        <v>178</v>
      </c>
      <c r="L22" s="3">
        <v>131</v>
      </c>
      <c r="M22" s="3">
        <v>16</v>
      </c>
      <c r="N22" s="3">
        <v>0</v>
      </c>
      <c r="O22" t="str" cm="1">
        <f t="array" ref="O22">_xlfn.IFS(
    F22&lt;349, "烂",
    F22&lt;=700, "常规",
    F22&lt;=1045, "小爆",
    F22&lt;=2980, "爆款",
    F22&lt;=26973, "大爆款",
    F22&gt;=26974, "超大爆款"
)</f>
        <v>超大爆款</v>
      </c>
    </row>
    <row r="23" spans="1:15" x14ac:dyDescent="0.35">
      <c r="A23" s="3" t="s">
        <v>924</v>
      </c>
      <c r="B23" s="8" t="s">
        <v>1076</v>
      </c>
      <c r="C23" s="3" t="s">
        <v>925</v>
      </c>
      <c r="D23" s="3" t="s">
        <v>896</v>
      </c>
      <c r="E23" s="3">
        <v>2219</v>
      </c>
      <c r="F23" s="3">
        <v>243</v>
      </c>
      <c r="G23" s="3">
        <v>6.2E-2</v>
      </c>
      <c r="H23" s="3">
        <v>43</v>
      </c>
      <c r="I23" s="3">
        <v>2</v>
      </c>
      <c r="J23" s="3">
        <v>10</v>
      </c>
      <c r="K23" s="3">
        <v>4</v>
      </c>
      <c r="L23" s="3">
        <v>12</v>
      </c>
      <c r="M23" s="3">
        <v>9</v>
      </c>
      <c r="N23" s="3">
        <v>0</v>
      </c>
      <c r="O23" s="9" t="s">
        <v>1096</v>
      </c>
    </row>
    <row r="24" spans="1:15" x14ac:dyDescent="0.35">
      <c r="A24" s="3" t="s">
        <v>926</v>
      </c>
      <c r="B24" s="8" t="s">
        <v>1076</v>
      </c>
      <c r="C24" s="3" t="s">
        <v>927</v>
      </c>
      <c r="D24" s="3" t="s">
        <v>896</v>
      </c>
      <c r="E24" s="3">
        <v>1776</v>
      </c>
      <c r="F24" s="3">
        <v>246</v>
      </c>
      <c r="G24" s="3">
        <v>6.0999999999999999E-2</v>
      </c>
      <c r="H24" s="3">
        <v>4</v>
      </c>
      <c r="I24" s="3">
        <v>0</v>
      </c>
      <c r="J24" s="3">
        <v>0</v>
      </c>
      <c r="K24" s="3">
        <v>0</v>
      </c>
      <c r="L24" s="3">
        <v>0</v>
      </c>
      <c r="M24" s="3">
        <v>10</v>
      </c>
      <c r="N24" s="3">
        <v>0</v>
      </c>
      <c r="O24" s="9" t="s">
        <v>1096</v>
      </c>
    </row>
    <row r="25" spans="1:15" ht="16.5" x14ac:dyDescent="0.45">
      <c r="A25" s="6" t="s">
        <v>969</v>
      </c>
      <c r="B25" s="4" t="s">
        <v>1080</v>
      </c>
      <c r="C25" s="3" t="s">
        <v>928</v>
      </c>
      <c r="D25" s="3" t="s">
        <v>896</v>
      </c>
      <c r="E25" s="3">
        <v>2737</v>
      </c>
      <c r="F25" s="3">
        <v>672</v>
      </c>
      <c r="G25" s="3">
        <v>8.3000000000000004E-2</v>
      </c>
      <c r="H25" s="3">
        <v>16</v>
      </c>
      <c r="I25" s="3">
        <v>1</v>
      </c>
      <c r="J25" s="3">
        <v>9</v>
      </c>
      <c r="K25" s="3">
        <v>0</v>
      </c>
      <c r="L25" s="3">
        <v>1</v>
      </c>
      <c r="M25" s="3">
        <v>58</v>
      </c>
      <c r="N25" s="3">
        <v>0</v>
      </c>
      <c r="O25" t="str" cm="1">
        <f t="array" ref="O25">_xlfn.IFS(
    F25&lt;349, "烂",
    F25&lt;=700, "常规",
    F25&lt;=1045, "小爆",
    F25&lt;=2980, "爆款",
    F25&lt;=26973, "大爆款",
    F25&gt;=26974, "超大爆款"
)</f>
        <v>常规</v>
      </c>
    </row>
    <row r="26" spans="1:15" x14ac:dyDescent="0.35">
      <c r="A26" s="3" t="s">
        <v>929</v>
      </c>
      <c r="B26" s="4" t="s">
        <v>1081</v>
      </c>
      <c r="C26" s="3" t="s">
        <v>930</v>
      </c>
      <c r="D26" s="3" t="s">
        <v>896</v>
      </c>
      <c r="E26" s="3">
        <v>15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t="str" cm="1">
        <f t="array" ref="O26">_xlfn.IFS(
    F26&lt;349, "烂",
    F26&lt;=700, "常规",
    F26&lt;=1045, "小爆",
    F26&lt;=2980, "爆款",
    F26&lt;=26973, "大爆款",
    F26&gt;=26974, "超大爆款"
)</f>
        <v>烂</v>
      </c>
    </row>
    <row r="27" spans="1:15" x14ac:dyDescent="0.35">
      <c r="A27" s="3" t="s">
        <v>931</v>
      </c>
      <c r="B27" s="4" t="s">
        <v>1082</v>
      </c>
      <c r="C27" s="3" t="s">
        <v>932</v>
      </c>
      <c r="D27" s="3" t="s">
        <v>896</v>
      </c>
      <c r="E27" s="3">
        <v>6313</v>
      </c>
      <c r="F27" s="3">
        <v>782</v>
      </c>
      <c r="G27" s="3">
        <v>9.6000000000000002E-2</v>
      </c>
      <c r="H27" s="3">
        <v>61</v>
      </c>
      <c r="I27" s="3">
        <v>1</v>
      </c>
      <c r="J27" s="3">
        <v>53</v>
      </c>
      <c r="K27" s="3">
        <v>12</v>
      </c>
      <c r="L27" s="3">
        <v>3</v>
      </c>
      <c r="M27" s="3">
        <v>46</v>
      </c>
      <c r="N27" s="3">
        <v>0</v>
      </c>
      <c r="O27" t="str" cm="1">
        <f t="array" ref="O27">_xlfn.IFS(
    F27&lt;349, "烂",
    F27&lt;=700, "常规",
    F27&lt;=1045, "小爆",
    F27&lt;=2980, "爆款",
    F27&lt;=26973, "大爆款",
    F27&gt;=26974, "超大爆款"
)</f>
        <v>小爆</v>
      </c>
    </row>
    <row r="28" spans="1:15" x14ac:dyDescent="0.35">
      <c r="A28" s="3" t="s">
        <v>933</v>
      </c>
      <c r="B28" s="4" t="s">
        <v>1083</v>
      </c>
      <c r="C28" s="3" t="s">
        <v>934</v>
      </c>
      <c r="D28" s="3" t="s">
        <v>896</v>
      </c>
      <c r="E28" s="3">
        <v>1641</v>
      </c>
      <c r="F28" s="3">
        <v>415</v>
      </c>
      <c r="G28" s="3">
        <v>5.7000000000000002E-2</v>
      </c>
      <c r="H28" s="3">
        <v>1</v>
      </c>
      <c r="I28" s="3">
        <v>0</v>
      </c>
      <c r="J28" s="3">
        <v>1</v>
      </c>
      <c r="K28" s="3">
        <v>0</v>
      </c>
      <c r="L28" s="3">
        <v>0</v>
      </c>
      <c r="M28" s="3">
        <v>14</v>
      </c>
      <c r="N28" s="3">
        <v>0</v>
      </c>
      <c r="O28" t="str" cm="1">
        <f t="array" ref="O28">_xlfn.IFS(
    F28&lt;349, "烂",
    F28&lt;=700, "常规",
    F28&lt;=1045, "小爆",
    F28&lt;=2980, "爆款",
    F28&lt;=26973, "大爆款",
    F28&gt;=26974, "超大爆款"
)</f>
        <v>常规</v>
      </c>
    </row>
    <row r="29" spans="1:15" x14ac:dyDescent="0.35">
      <c r="A29" s="3" t="s">
        <v>935</v>
      </c>
      <c r="B29" s="4" t="s">
        <v>1084</v>
      </c>
      <c r="C29" s="3" t="s">
        <v>936</v>
      </c>
      <c r="D29" s="3" t="s">
        <v>896</v>
      </c>
      <c r="E29" s="3">
        <v>4719</v>
      </c>
      <c r="F29" s="3">
        <v>2051</v>
      </c>
      <c r="G29" s="3">
        <v>5.3999999999999999E-2</v>
      </c>
      <c r="H29" s="3">
        <v>125</v>
      </c>
      <c r="I29" s="3">
        <v>0</v>
      </c>
      <c r="J29" s="3">
        <v>100</v>
      </c>
      <c r="K29" s="3">
        <v>4</v>
      </c>
      <c r="L29" s="3">
        <v>8</v>
      </c>
      <c r="M29" s="3">
        <v>195</v>
      </c>
      <c r="N29" s="3">
        <v>0</v>
      </c>
      <c r="O29" t="str" cm="1">
        <f t="array" ref="O29">_xlfn.IFS(
    F29&lt;349, "烂",
    F29&lt;=700, "常规",
    F29&lt;=1045, "小爆",
    F29&lt;=2980, "爆款",
    F29&lt;=26973, "大爆款",
    F29&gt;=26974, "超大爆款"
)</f>
        <v>爆款</v>
      </c>
    </row>
    <row r="30" spans="1:15" x14ac:dyDescent="0.35">
      <c r="A30" s="3" t="s">
        <v>937</v>
      </c>
      <c r="B30" s="4" t="s">
        <v>1085</v>
      </c>
      <c r="C30" s="3" t="s">
        <v>938</v>
      </c>
      <c r="D30" s="3" t="s">
        <v>896</v>
      </c>
      <c r="E30" s="3">
        <v>2844</v>
      </c>
      <c r="F30" s="3">
        <v>229</v>
      </c>
      <c r="G30" s="3">
        <v>4.1000000000000002E-2</v>
      </c>
      <c r="H30" s="3">
        <v>24</v>
      </c>
      <c r="I30" s="3">
        <v>2</v>
      </c>
      <c r="J30" s="3">
        <v>20</v>
      </c>
      <c r="K30" s="3">
        <v>0</v>
      </c>
      <c r="L30" s="3">
        <v>1</v>
      </c>
      <c r="M30" s="3">
        <v>67</v>
      </c>
      <c r="N30" s="3">
        <v>0</v>
      </c>
      <c r="O30" t="str" cm="1">
        <f t="array" ref="O30">_xlfn.IFS(
    F30&lt;349, "烂",
    F30&lt;=700, "常规",
    F30&lt;=1045, "小爆",
    F30&lt;=2980, "爆款",
    F30&lt;=26973, "大爆款",
    F30&gt;=26974, "超大爆款"
)</f>
        <v>烂</v>
      </c>
    </row>
    <row r="31" spans="1:15" x14ac:dyDescent="0.35">
      <c r="A31" s="3" t="s">
        <v>939</v>
      </c>
      <c r="B31" s="4" t="s">
        <v>1086</v>
      </c>
      <c r="C31" s="3" t="s">
        <v>940</v>
      </c>
      <c r="D31" s="3" t="s">
        <v>896</v>
      </c>
      <c r="E31" s="3">
        <v>1772</v>
      </c>
      <c r="F31" s="3">
        <v>367</v>
      </c>
      <c r="G31" s="3">
        <v>3.3000000000000002E-2</v>
      </c>
      <c r="H31" s="3">
        <v>20</v>
      </c>
      <c r="I31" s="3">
        <v>1</v>
      </c>
      <c r="J31" s="3">
        <v>4</v>
      </c>
      <c r="K31" s="3">
        <v>2</v>
      </c>
      <c r="L31" s="3">
        <v>0</v>
      </c>
      <c r="M31" s="3">
        <v>239</v>
      </c>
      <c r="N31" s="3">
        <v>0</v>
      </c>
      <c r="O31" t="str" cm="1">
        <f t="array" ref="O31">_xlfn.IFS(
    F31&lt;349, "烂",
    F31&lt;=700, "常规",
    F31&lt;=1045, "小爆",
    F31&lt;=2980, "爆款",
    F31&lt;=26973, "大爆款",
    F31&gt;=26974, "超大爆款"
)</f>
        <v>常规</v>
      </c>
    </row>
    <row r="32" spans="1:15" x14ac:dyDescent="0.35">
      <c r="A32" s="3" t="s">
        <v>941</v>
      </c>
      <c r="B32" s="4" t="s">
        <v>1087</v>
      </c>
      <c r="C32" s="3" t="s">
        <v>942</v>
      </c>
      <c r="D32" s="3" t="s">
        <v>896</v>
      </c>
      <c r="E32" s="3">
        <v>1387</v>
      </c>
      <c r="F32" s="3">
        <v>111</v>
      </c>
      <c r="G32" s="3">
        <v>3.6999999999999998E-2</v>
      </c>
      <c r="H32" s="3">
        <v>5</v>
      </c>
      <c r="I32" s="3">
        <v>0</v>
      </c>
      <c r="J32" s="3">
        <v>0</v>
      </c>
      <c r="K32" s="3">
        <v>1</v>
      </c>
      <c r="L32" s="3">
        <v>1</v>
      </c>
      <c r="M32" s="3">
        <v>102</v>
      </c>
      <c r="N32" s="3">
        <v>0</v>
      </c>
      <c r="O32" t="str" cm="1">
        <f t="array" ref="O32">_xlfn.IFS(
    F32&lt;349, "烂",
    F32&lt;=700, "常规",
    F32&lt;=1045, "小爆",
    F32&lt;=2980, "爆款",
    F32&lt;=26973, "大爆款",
    F32&gt;=26974, "超大爆款"
)</f>
        <v>烂</v>
      </c>
    </row>
    <row r="33" spans="1:15" x14ac:dyDescent="0.35">
      <c r="A33" s="3" t="s">
        <v>943</v>
      </c>
      <c r="B33" s="4" t="s">
        <v>1088</v>
      </c>
      <c r="C33" s="3" t="s">
        <v>944</v>
      </c>
      <c r="D33" s="3" t="s">
        <v>896</v>
      </c>
      <c r="E33" s="3">
        <v>3262</v>
      </c>
      <c r="F33" s="3">
        <v>279</v>
      </c>
      <c r="G33" s="3">
        <v>6.4000000000000001E-2</v>
      </c>
      <c r="H33" s="3">
        <v>32</v>
      </c>
      <c r="I33" s="3">
        <v>0</v>
      </c>
      <c r="J33" s="3">
        <v>14</v>
      </c>
      <c r="K33" s="3">
        <v>7</v>
      </c>
      <c r="L33" s="3">
        <v>6</v>
      </c>
      <c r="M33" s="3">
        <v>122</v>
      </c>
      <c r="N33" s="3">
        <v>0</v>
      </c>
      <c r="O33" t="str" cm="1">
        <f t="array" ref="O33">_xlfn.IFS(
    F33&lt;349, "烂",
    F33&lt;=700, "常规",
    F33&lt;=1045, "小爆",
    F33&lt;=2980, "爆款",
    F33&lt;=26973, "大爆款",
    F33&gt;=26974, "超大爆款"
)</f>
        <v>烂</v>
      </c>
    </row>
    <row r="34" spans="1:15" x14ac:dyDescent="0.35">
      <c r="A34" s="3" t="s">
        <v>945</v>
      </c>
      <c r="B34" s="4" t="s">
        <v>1089</v>
      </c>
      <c r="C34" s="3" t="s">
        <v>946</v>
      </c>
      <c r="D34" s="3" t="s">
        <v>896</v>
      </c>
      <c r="E34" s="3">
        <v>3546</v>
      </c>
      <c r="F34" s="3">
        <v>204</v>
      </c>
      <c r="G34" s="3">
        <v>0.04</v>
      </c>
      <c r="H34" s="3">
        <v>10</v>
      </c>
      <c r="I34" s="3">
        <v>0</v>
      </c>
      <c r="J34" s="3">
        <v>4</v>
      </c>
      <c r="K34" s="3">
        <v>6</v>
      </c>
      <c r="L34" s="3">
        <v>6</v>
      </c>
      <c r="M34" s="3">
        <v>110</v>
      </c>
      <c r="N34" s="3">
        <v>0</v>
      </c>
      <c r="O34" t="str" cm="1">
        <f t="array" ref="O34">_xlfn.IFS(
    F34&lt;349, "烂",
    F34&lt;=700, "常规",
    F34&lt;=1045, "小爆",
    F34&lt;=2980, "爆款",
    F34&lt;=26973, "大爆款",
    F34&gt;=26974, "超大爆款"
)</f>
        <v>烂</v>
      </c>
    </row>
    <row r="35" spans="1:15" x14ac:dyDescent="0.35">
      <c r="A35" s="3" t="s">
        <v>947</v>
      </c>
      <c r="B35" s="4" t="s">
        <v>1090</v>
      </c>
      <c r="C35" s="3" t="s">
        <v>948</v>
      </c>
      <c r="D35" s="3" t="s">
        <v>896</v>
      </c>
      <c r="E35" s="3">
        <v>430254</v>
      </c>
      <c r="F35" s="3">
        <v>58430</v>
      </c>
      <c r="G35" s="3">
        <v>9.6000000000000002E-2</v>
      </c>
      <c r="H35" s="3">
        <v>4111</v>
      </c>
      <c r="I35" s="3">
        <v>207</v>
      </c>
      <c r="J35" s="3">
        <v>1309</v>
      </c>
      <c r="K35" s="3">
        <v>365</v>
      </c>
      <c r="L35" s="3">
        <v>377</v>
      </c>
      <c r="M35" s="3">
        <v>91</v>
      </c>
      <c r="N35" s="3">
        <v>0</v>
      </c>
      <c r="O35" t="str" cm="1">
        <f t="array" ref="O35">_xlfn.IFS(
    F35&lt;349, "烂",
    F35&lt;=700, "常规",
    F35&lt;=1045, "小爆",
    F35&lt;=2980, "爆款",
    F35&lt;=26973, "大爆款",
    F35&gt;=26974, "超大爆款"
)</f>
        <v>超大爆款</v>
      </c>
    </row>
    <row r="36" spans="1:15" ht="16.5" x14ac:dyDescent="0.45">
      <c r="A36" s="6" t="s">
        <v>968</v>
      </c>
      <c r="B36" s="4" t="s">
        <v>1091</v>
      </c>
      <c r="C36" s="3" t="s">
        <v>949</v>
      </c>
      <c r="D36" s="3" t="s">
        <v>896</v>
      </c>
      <c r="E36" s="3">
        <v>31066</v>
      </c>
      <c r="F36" s="3">
        <v>3084</v>
      </c>
      <c r="G36" s="3">
        <v>9.2999999999999999E-2</v>
      </c>
      <c r="H36" s="3">
        <v>392</v>
      </c>
      <c r="I36" s="3">
        <v>6</v>
      </c>
      <c r="J36" s="3">
        <v>249</v>
      </c>
      <c r="K36" s="3">
        <v>55</v>
      </c>
      <c r="L36" s="3">
        <v>32</v>
      </c>
      <c r="M36" s="3">
        <v>17</v>
      </c>
      <c r="N36" s="3">
        <v>0</v>
      </c>
      <c r="O36" t="str" cm="1">
        <f t="array" ref="O36">_xlfn.IFS(
    F36&lt;349, "烂",
    F36&lt;=700, "常规",
    F36&lt;=1045, "小爆",
    F36&lt;=2980, "爆款",
    F36&lt;=26973, "大爆款",
    F36&gt;=26974, "超大爆款"
)</f>
        <v>大爆款</v>
      </c>
    </row>
    <row r="37" spans="1:15" x14ac:dyDescent="0.35">
      <c r="A37" s="3" t="s">
        <v>950</v>
      </c>
      <c r="B37" s="4" t="s">
        <v>1092</v>
      </c>
      <c r="C37" s="3" t="s">
        <v>951</v>
      </c>
      <c r="D37" s="3" t="s">
        <v>896</v>
      </c>
      <c r="E37" s="3">
        <v>6327</v>
      </c>
      <c r="F37" s="3">
        <v>621</v>
      </c>
      <c r="G37" s="3">
        <v>7.3999999999999996E-2</v>
      </c>
      <c r="H37" s="3">
        <v>97</v>
      </c>
      <c r="I37" s="3">
        <v>2</v>
      </c>
      <c r="J37" s="3">
        <v>39</v>
      </c>
      <c r="K37" s="3">
        <v>13</v>
      </c>
      <c r="L37" s="3">
        <v>7</v>
      </c>
      <c r="M37" s="3">
        <v>42</v>
      </c>
      <c r="N37" s="3">
        <v>0</v>
      </c>
      <c r="O37" t="str" cm="1">
        <f t="array" ref="O37">_xlfn.IFS(
    F37&lt;349, "烂",
    F37&lt;=700, "常规",
    F37&lt;=1045, "小爆",
    F37&lt;=2980, "爆款",
    F37&lt;=26973, "大爆款",
    F37&gt;=26974, "超大爆款"
)</f>
        <v>常规</v>
      </c>
    </row>
    <row r="38" spans="1:15" x14ac:dyDescent="0.35">
      <c r="A38" s="3" t="s">
        <v>952</v>
      </c>
      <c r="B38" s="4" t="s">
        <v>1093</v>
      </c>
      <c r="C38" s="3" t="s">
        <v>953</v>
      </c>
      <c r="D38" s="3" t="s">
        <v>896</v>
      </c>
      <c r="E38" s="3">
        <v>3832</v>
      </c>
      <c r="F38" s="3">
        <v>197</v>
      </c>
      <c r="G38" s="3">
        <v>3.2000000000000001E-2</v>
      </c>
      <c r="H38" s="3">
        <v>16</v>
      </c>
      <c r="I38" s="3">
        <v>1</v>
      </c>
      <c r="J38" s="3">
        <v>1</v>
      </c>
      <c r="K38" s="3">
        <v>3</v>
      </c>
      <c r="L38" s="3">
        <v>2</v>
      </c>
      <c r="M38" s="3">
        <v>17</v>
      </c>
      <c r="N38" s="3">
        <v>0</v>
      </c>
      <c r="O38" t="str" cm="1">
        <f t="array" ref="O38">_xlfn.IFS(
    F38&lt;349, "烂",
    F38&lt;=700, "常规",
    F38&lt;=1045, "小爆",
    F38&lt;=2980, "爆款",
    F38&lt;=26973, "大爆款",
    F38&gt;=26974, "超大爆款"
)</f>
        <v>烂</v>
      </c>
    </row>
    <row r="39" spans="1:15" x14ac:dyDescent="0.35">
      <c r="A39" s="3" t="s">
        <v>954</v>
      </c>
      <c r="B39" s="4" t="s">
        <v>1094</v>
      </c>
      <c r="C39" s="3" t="s">
        <v>955</v>
      </c>
      <c r="D39" s="3" t="s">
        <v>896</v>
      </c>
      <c r="E39" s="3">
        <v>4949</v>
      </c>
      <c r="F39" s="3">
        <v>1448</v>
      </c>
      <c r="G39" s="3">
        <v>3.5000000000000003E-2</v>
      </c>
      <c r="H39" s="3">
        <v>102</v>
      </c>
      <c r="I39" s="3">
        <v>2</v>
      </c>
      <c r="J39" s="3">
        <v>41</v>
      </c>
      <c r="K39" s="3">
        <v>0</v>
      </c>
      <c r="L39" s="3">
        <v>4</v>
      </c>
      <c r="M39" s="3">
        <v>12</v>
      </c>
      <c r="N39" s="3">
        <v>0</v>
      </c>
      <c r="O39" t="str" cm="1">
        <f t="array" ref="O39">_xlfn.IFS(
    F39&lt;349, "烂",
    F39&lt;=700, "常规",
    F39&lt;=1045, "小爆",
    F39&lt;=2980, "爆款",
    F39&lt;=26973, "大爆款",
    F39&gt;=26974, "超大爆款"
)</f>
        <v>爆款</v>
      </c>
    </row>
    <row r="42" spans="1:15" x14ac:dyDescent="0.35">
      <c r="E42" s="3"/>
    </row>
    <row r="43" spans="1:15" x14ac:dyDescent="0.35">
      <c r="E43" s="3"/>
    </row>
    <row r="44" spans="1:15" x14ac:dyDescent="0.35">
      <c r="E44" s="3"/>
    </row>
  </sheetData>
  <autoFilter ref="O1:O44" xr:uid="{B09372F0-FC08-4DFB-B405-964281D4CE10}"/>
  <phoneticPr fontId="1" type="noConversion"/>
  <conditionalFormatting sqref="O1:O1048576">
    <cfRule type="cellIs" dxfId="12" priority="9" operator="equal">
      <formula>"烂"</formula>
    </cfRule>
  </conditionalFormatting>
  <conditionalFormatting sqref="O4">
    <cfRule type="cellIs" dxfId="11" priority="5" operator="equal">
      <formula>"超大爆款"</formula>
    </cfRule>
    <cfRule type="cellIs" dxfId="10" priority="6" operator="equal">
      <formula>"大爆款"</formula>
    </cfRule>
    <cfRule type="cellIs" dxfId="9" priority="7" operator="equal">
      <formula>"爆款"</formula>
    </cfRule>
    <cfRule type="cellIs" dxfId="8" priority="8" operator="equal">
      <formula>"小爆"</formula>
    </cfRule>
  </conditionalFormatting>
  <conditionalFormatting sqref="O8:O39">
    <cfRule type="cellIs" dxfId="7" priority="10" operator="equal">
      <formula>"超大爆款"</formula>
    </cfRule>
    <cfRule type="cellIs" dxfId="6" priority="11" operator="equal">
      <formula>"大爆款"</formula>
    </cfRule>
    <cfRule type="cellIs" dxfId="5" priority="12" operator="equal">
      <formula>"爆款"</formula>
    </cfRule>
    <cfRule type="cellIs" dxfId="4" priority="13" operator="equal">
      <formula>"小爆"</formula>
    </cfRule>
  </conditionalFormatting>
  <conditionalFormatting sqref="O2">
    <cfRule type="cellIs" dxfId="3" priority="1" operator="equal">
      <formula>"超大爆款"</formula>
    </cfRule>
    <cfRule type="cellIs" dxfId="2" priority="2" operator="equal">
      <formula>"大爆款"</formula>
    </cfRule>
    <cfRule type="cellIs" dxfId="1" priority="3" operator="equal">
      <formula>"爆款"</formula>
    </cfRule>
    <cfRule type="cellIs" dxfId="0" priority="4" operator="equal">
      <formula>"小爆"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抖音</vt:lpstr>
      <vt:lpstr>小红书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Qu</cp:lastModifiedBy>
  <dcterms:modified xsi:type="dcterms:W3CDTF">2026-05-04T08:22:33Z</dcterms:modified>
</cp:coreProperties>
</file>